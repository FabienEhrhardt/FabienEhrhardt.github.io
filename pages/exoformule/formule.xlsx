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\0- pédagogie\0 Paquetage scrom\SuperSite\pages\exoformule\"/>
    </mc:Choice>
  </mc:AlternateContent>
  <xr:revisionPtr revIDLastSave="0" documentId="13_ncr:1_{2FCDE694-41D5-410E-A852-EB1E11848E85}" xr6:coauthVersionLast="47" xr6:coauthVersionMax="47" xr10:uidLastSave="{00000000-0000-0000-0000-000000000000}"/>
  <bookViews>
    <workbookView xWindow="-108" yWindow="-108" windowWidth="23256" windowHeight="13896" xr2:uid="{265E9A38-2995-4177-9081-96CEA6BA5440}"/>
  </bookViews>
  <sheets>
    <sheet name="Formule" sheetId="20" r:id="rId1"/>
    <sheet name="Mono" sheetId="1" r:id="rId2"/>
    <sheet name="1" sheetId="2" r:id="rId3"/>
    <sheet name="13" sheetId="3" r:id="rId4"/>
    <sheet name="Continu" sheetId="4" r:id="rId5"/>
    <sheet name="TRI" sheetId="5" r:id="rId6"/>
    <sheet name="Mono H" sheetId="6" r:id="rId7"/>
    <sheet name="T M" sheetId="7" r:id="rId8"/>
    <sheet name="T Tri" sheetId="8" r:id="rId9"/>
    <sheet name="41 T" sheetId="9" r:id="rId10"/>
    <sheet name="41 R" sheetId="11" r:id="rId11"/>
    <sheet name="42" sheetId="12" r:id="rId12"/>
    <sheet name="5" sheetId="13" r:id="rId13"/>
    <sheet name="6" sheetId="14" r:id="rId14"/>
    <sheet name="62" sheetId="15" r:id="rId15"/>
    <sheet name="71" sheetId="16" r:id="rId16"/>
    <sheet name="72" sheetId="17" r:id="rId17"/>
    <sheet name="73" sheetId="18" r:id="rId18"/>
    <sheet name="8" sheetId="19" r:id="rId19"/>
  </sheets>
  <definedNames>
    <definedName name="_xlnm._FilterDatabase" localSheetId="0" hidden="1">Formule!$F$1:$F$87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0" l="1"/>
  <c r="H1" i="20"/>
</calcChain>
</file>

<file path=xl/sharedStrings.xml><?xml version="1.0" encoding="utf-8"?>
<sst xmlns="http://schemas.openxmlformats.org/spreadsheetml/2006/main" count="2077" uniqueCount="1032">
  <si>
    <t>VI</t>
  </si>
  <si>
    <t>VI\\cos\\varphi</t>
  </si>
  <si>
    <t>VI\\sin \\varphi</t>
  </si>
  <si>
    <t>RI</t>
  </si>
  <si>
    <t>VI\\sin\\varphi</t>
  </si>
  <si>
    <t>VI\\cos \\varphi</t>
  </si>
  <si>
    <t>P sin \\varphi</t>
  </si>
  <si>
    <t>VI \\cos \\varphi</t>
  </si>
  <si>
    <t>\\sqrt{P^2-Q^2}</t>
  </si>
  <si>
    <t>P \\cos \\varphi</t>
  </si>
  <si>
    <t>Puissance active P=</t>
  </si>
  <si>
    <t>Puissance réactive Q=</t>
  </si>
  <si>
    <t xml:space="preserve">Puissance apparente S= </t>
  </si>
  <si>
    <t>\\frac{V_{max}}{\\sqrt{2}}</t>
  </si>
  <si>
    <t>{V_{max}}{\\sqrt{2}}</t>
  </si>
  <si>
    <t>\\frac{V_{max}}{\\sqrt{3}}</t>
  </si>
  <si>
    <t>{V_{max}}{\\sqrt{3}}</t>
  </si>
  <si>
    <t>Valeur efficace du courant I=</t>
  </si>
  <si>
    <t>Valeur efficace de la tension V=</t>
  </si>
  <si>
    <t>\\frac{I_{max}}{\\sqrt{2}}</t>
  </si>
  <si>
    <t>{I_{max}}{\\sqrt{2}}</t>
  </si>
  <si>
    <t>\\frac{I_{max}}{\\sqrt{3}}</t>
  </si>
  <si>
    <t>{I_{max}}{\\sqrt{3}}</t>
  </si>
  <si>
    <t>Pulsation \\(\\omega\\)=</t>
  </si>
  <si>
    <t>2 \\pi f</t>
  </si>
  <si>
    <t>\\frac{f}{2\\pi}</t>
  </si>
  <si>
    <t>2 \\pi T</t>
  </si>
  <si>
    <t>\\frac{2\\pi}{60}n</t>
  </si>
  <si>
    <t>Fréquence f=</t>
  </si>
  <si>
    <t>\\frac{1}{T}</t>
  </si>
  <si>
    <t>\\frac{T}{2\\pi}</t>
  </si>
  <si>
    <t>2 \\pi \\omega</t>
  </si>
  <si>
    <t>Déphasage \\(\\varphi\\)=</t>
  </si>
  <si>
    <t>360 \\frac{\\Delta t}{T}</t>
  </si>
  <si>
    <t>\\frac{V}{I}</t>
  </si>
  <si>
    <t>\\sqrt{P^2+Q^2}</t>
  </si>
  <si>
    <t>P F_p</t>
  </si>
  <si>
    <t>Facteur de puissance \\(F_p\\)=</t>
  </si>
  <si>
    <t>\\frac{P}{S}</t>
  </si>
  <si>
    <t>\\frac{S}{P}</t>
  </si>
  <si>
    <t>\\sin \\varphi</t>
  </si>
  <si>
    <t>\\tan \\varphi</t>
  </si>
  <si>
    <t>\\cos \\varphi</t>
  </si>
  <si>
    <t>P \\tan \\varphi</t>
  </si>
  <si>
    <t>P \\sin \\varphi</t>
  </si>
  <si>
    <t>S \\cos\\varphi</t>
  </si>
  <si>
    <t>Energie E=</t>
  </si>
  <si>
    <t>P \\Delta t</t>
  </si>
  <si>
    <t>\\frac{P}{\\Delta t}</t>
  </si>
  <si>
    <t>S \\Delta  t</t>
  </si>
  <si>
    <t>Puissance active totale \\(P_{tot}\\)=</t>
  </si>
  <si>
    <t>P_1+P_2+…</t>
  </si>
  <si>
    <t>\\sqrt{P_1^2+P_2^2+...}</t>
  </si>
  <si>
    <t>Puissance réactive totale \\(Q_{tot}\\)=</t>
  </si>
  <si>
    <t>Q_1+Q_2+…</t>
  </si>
  <si>
    <t>\\sqrt{Q_1^2+Q_2^2+...}</t>
  </si>
  <si>
    <t>Puissance apparente totale \\(S_{tot}\\)=</t>
  </si>
  <si>
    <t>S_1+S_2+…</t>
  </si>
  <si>
    <t>\\sqrt{S_1^2+S_2^2+...}</t>
  </si>
  <si>
    <t>\\sqrt{P_{tot}^2+Q_{tot}^2}</t>
  </si>
  <si>
    <t>\\sqrt{P_1^2+Q_1^2+P_2^2+Q_2^2+...}</t>
  </si>
  <si>
    <t>Impédance d'une résistance Z=</t>
  </si>
  <si>
    <t>R</t>
  </si>
  <si>
    <t>R\\omega</t>
  </si>
  <si>
    <t>\\frac{I}{V}</t>
  </si>
  <si>
    <t>Impédance d'une bobine Z=</t>
  </si>
  <si>
    <t>L\\omega</t>
  </si>
  <si>
    <t>\\frac{1}{L\\omega}</t>
  </si>
  <si>
    <t>L</t>
  </si>
  <si>
    <t>Impédance d'un dipôle Z=</t>
  </si>
  <si>
    <t xml:space="preserve">Impédance d'un condensateur </t>
  </si>
  <si>
    <t>\\frac{1}{C\\omega}</t>
  </si>
  <si>
    <t>C \\omega</t>
  </si>
  <si>
    <t>C</t>
  </si>
  <si>
    <t>\\frac{1}{C}</t>
  </si>
  <si>
    <t>ZI</t>
  </si>
  <si>
    <t>\\frac{I}{Z}</t>
  </si>
  <si>
    <t>V=</t>
  </si>
  <si>
    <t>LI</t>
  </si>
  <si>
    <t>CI</t>
  </si>
  <si>
    <t>Pour une bobine  \\(\\varphi\\)=</t>
  </si>
  <si>
    <t>Pour une résistance  \\(\\varphi\\)=</t>
  </si>
  <si>
    <t>Pour un condensateur \\(\\varphi\\)=</t>
  </si>
  <si>
    <t>Pour un circuit RL série \\(\\varphi\\)=</t>
  </si>
  <si>
    <t>Pour un circuit RC série \\(\\varphi\\)=</t>
  </si>
  <si>
    <t>Pour un circuit RLC série \\(\\varphi\\)=</t>
  </si>
  <si>
    <t>Pour un circuit RC série Z=</t>
  </si>
  <si>
    <t>Pour un circuit RLC série Z=</t>
  </si>
  <si>
    <t>R+L</t>
  </si>
  <si>
    <t>R+L\\omega</t>
  </si>
  <si>
    <t>\\frac{L}{R}</t>
  </si>
  <si>
    <t>R+C</t>
  </si>
  <si>
    <t>R+C\\omega</t>
  </si>
  <si>
    <t>R+\\frac{1}{C \\omega}</t>
  </si>
  <si>
    <t>R+L+C</t>
  </si>
  <si>
    <t>R+L\\omega+\\frac{1}{C\\omega}</t>
  </si>
  <si>
    <t>Dans R, P=</t>
  </si>
  <si>
    <t>RI^2</t>
  </si>
  <si>
    <t>\\frac{V}{R}</t>
  </si>
  <si>
    <t>\\frac{V^2}{R}</t>
  </si>
  <si>
    <t>Dans R, Q=</t>
  </si>
  <si>
    <t>Dans L, P=</t>
  </si>
  <si>
    <t>L\\omega I^2</t>
  </si>
  <si>
    <t>\\frac{V^2}{L\\omega}</t>
  </si>
  <si>
    <t>Dans L, Q=</t>
  </si>
  <si>
    <t>L\\omega I</t>
  </si>
  <si>
    <t>\\frac{V}{L\\omega}</t>
  </si>
  <si>
    <t>Dans C, P=</t>
  </si>
  <si>
    <t>Dans C, Q=</t>
  </si>
  <si>
    <t xml:space="preserve"> -C\\omega V</t>
  </si>
  <si>
    <t xml:space="preserve"> -C\\omega I</t>
  </si>
  <si>
    <t xml:space="preserve"> -C\\omega V^2</t>
  </si>
  <si>
    <t xml:space="preserve"> -\\frac{1}{C\\omega}I^2</t>
  </si>
  <si>
    <t>Dans R, \\(F_p\\)=</t>
  </si>
  <si>
    <t>Dans L, \\(F_p\\)=</t>
  </si>
  <si>
    <t>Dans C, \\(F_p\\)=</t>
  </si>
  <si>
    <t>\\sqrt{R^2+(L\\omega+\\frac{1}{C\\omega})^2}</t>
  </si>
  <si>
    <t>\\sqrt{R^2+(L\\omega-\\frac{1}{C\\omega})^2}</t>
  </si>
  <si>
    <t>\\sqrt{R^2+(L\\omega)^2}</t>
  </si>
  <si>
    <t>\\sqrt{R^2+(\\frac{1}{C\\omega})^2}</t>
  </si>
  <si>
    <t>atan F_p</t>
  </si>
  <si>
    <t>atan(\\frac{L\\omega}{R})</t>
  </si>
  <si>
    <t>atan(\\frac{R}{L\\omega})</t>
  </si>
  <si>
    <t>atan(\\frac{L}{R})</t>
  </si>
  <si>
    <t>atan({RC\\omega})</t>
  </si>
  <si>
    <t>atan(\\frac{C\\omega}{R})</t>
  </si>
  <si>
    <t>atan(\\frac{C}{R})</t>
  </si>
  <si>
    <t>atan(\\frac{L\\omega-\\frac{1}{C\\omega}}{R})</t>
  </si>
  <si>
    <t>atan({RLC\\omega})</t>
  </si>
  <si>
    <t>atan(\\frac{L+C}{R})</t>
  </si>
  <si>
    <t>atan(\\frac{L\\omega}{CR})</t>
  </si>
  <si>
    <t>asin F_p</t>
  </si>
  <si>
    <t>Rendement \\(\\eta=\\)</t>
  </si>
  <si>
    <t>\\frac{P_u}{P_a}</t>
  </si>
  <si>
    <t>\\frac{P_a}{P_u}</t>
  </si>
  <si>
    <t>P_u+P_a</t>
  </si>
  <si>
    <t>P_a-P_u</t>
  </si>
  <si>
    <t>\\frac{P_u}{\\eta}\\)</t>
  </si>
  <si>
    <t>{P_u} \\times {\\eta}</t>
  </si>
  <si>
    <t>P_u-P_p</t>
  </si>
  <si>
    <t>P_u</t>
  </si>
  <si>
    <t>Puissance utile \\(P_u=\\)</t>
  </si>
  <si>
    <t>Puissance absorbée \\(P_a=\\)</t>
  </si>
  <si>
    <t>P_a \\times \\eta</t>
  </si>
  <si>
    <t>P_a+P_p</t>
  </si>
  <si>
    <t>\\frac{P_a}{\\eta}\\)</t>
  </si>
  <si>
    <t>P_p</t>
  </si>
  <si>
    <t>\\frac{E_u}{E_a}</t>
  </si>
  <si>
    <t>\\frac{E_a}{E_u}</t>
  </si>
  <si>
    <t>E_u+P_a</t>
  </si>
  <si>
    <t>E_a-E_u</t>
  </si>
  <si>
    <t>Energie absorbée \\(E_a=\\)</t>
  </si>
  <si>
    <t>\\frac{E_u}{\\eta}\\)</t>
  </si>
  <si>
    <t>{E_u} \\times {\\eta}</t>
  </si>
  <si>
    <t>E_u-E_p</t>
  </si>
  <si>
    <t>E_u</t>
  </si>
  <si>
    <t>E_p</t>
  </si>
  <si>
    <t>\\frac{E_a}{\\eta}\\)</t>
  </si>
  <si>
    <t>E_a+E_p</t>
  </si>
  <si>
    <t>E_a \\times \\eta</t>
  </si>
  <si>
    <t>Energie utile \\(E_u=\\)</t>
  </si>
  <si>
    <t>Energie perdue \\(E_p=\\)</t>
  </si>
  <si>
    <t>\\frac{E_u}{\\eta}</t>
  </si>
  <si>
    <t>\\frac{E_a}{\\eta}</t>
  </si>
  <si>
    <t>Puissance perdue \\(P_p=\\)</t>
  </si>
  <si>
    <t>\\frac{P_u}{\\eta}</t>
  </si>
  <si>
    <t>\\frac{P_a}{\\eta}</t>
  </si>
  <si>
    <t>Facteur de charge \\(F=\\)</t>
  </si>
  <si>
    <t>\\frac{E_{réelle}}{P_n \\Delta t}</t>
  </si>
  <si>
    <t>\\frac{E_{réelle}\\Delta t}{P_n }</t>
  </si>
  <si>
    <t>\\frac{E_{réelle}}{P_n }</t>
  </si>
  <si>
    <t>\\frac{P_n }{E_{réelle}}</t>
  </si>
  <si>
    <t>1 Wh =</t>
  </si>
  <si>
    <t>3600 J</t>
  </si>
  <si>
    <t>360 J</t>
  </si>
  <si>
    <t>1000 J</t>
  </si>
  <si>
    <t>\\frac{1}{3600} J</t>
  </si>
  <si>
    <t>1 kWh =</t>
  </si>
  <si>
    <t>3 600 000 J</t>
  </si>
  <si>
    <t>3 600 J</t>
  </si>
  <si>
    <t>\\frac{1}{3600000} J</t>
  </si>
  <si>
    <t>Energie \\(\\Delta E\\)</t>
  </si>
  <si>
    <t>{P}\\times{\\Delta t}</t>
  </si>
  <si>
    <t>P \\times 3600</t>
  </si>
  <si>
    <t>\\frac{P}{3600}</t>
  </si>
  <si>
    <t>Energie thermique \\(Q=\\)</t>
  </si>
  <si>
    <t>m C_m \\Delta T</t>
  </si>
  <si>
    <t>m C_m \\Delta t</t>
  </si>
  <si>
    <t>\\frac{P}{\\Delta T}</t>
  </si>
  <si>
    <t>Energie massique de changement d'état \\(Q=\\)</t>
  </si>
  <si>
    <t>m E_m</t>
  </si>
  <si>
    <t>E_m</t>
  </si>
  <si>
    <t>m \\Delta T</t>
  </si>
  <si>
    <t>\\frac{\\Delta T}{R_{th}}</t>
  </si>
  <si>
    <t>Flux thermique \\(\\Phi=\\)</t>
  </si>
  <si>
    <t>\\frac{\\Delta Q}{\\Delta t}</t>
  </si>
  <si>
    <t>\\frac{\\Delta Q}{\\Delta T}</t>
  </si>
  <si>
    <t>P \\times \\Delta t</t>
  </si>
  <si>
    <t>P \\times \\Delta T</t>
  </si>
  <si>
    <t>Loi d'Ohm thermique \\(\\Delta T=\\)</t>
  </si>
  <si>
    <t>\\frac{\\Phi}{R_{th}}</t>
  </si>
  <si>
    <t>\\frac{Q}{R_{th}}</t>
  </si>
  <si>
    <t>Q R_{th}</t>
  </si>
  <si>
    <t>\\frac{e}{\\lambda S}</t>
  </si>
  <si>
    <t>\\frac{1}{\\lambda S}</t>
  </si>
  <si>
    <t>\\frac{e}{\\lambda}</t>
  </si>
  <si>
    <t>\\frac{1}{h S}</t>
  </si>
  <si>
    <t>\\frac{e}{h}</t>
  </si>
  <si>
    <t>\\frac{e}{h S}</t>
  </si>
  <si>
    <t>R_1+R_2</t>
  </si>
  <si>
    <t>\\frac{1}{R_1}+\\frac{1}{R_2}</t>
  </si>
  <si>
    <t>\\frac{R_1 R_2}{R_1+R_2}</t>
  </si>
  <si>
    <t>R_1 R_2</t>
  </si>
  <si>
    <t>Surface d'une armoire \\(S=\\)</t>
  </si>
  <si>
    <t>2(Lh+Lp+hp)</t>
  </si>
  <si>
    <t>Lhp</t>
  </si>
  <si>
    <t>2Lhp</t>
  </si>
  <si>
    <t>\\frac{T_{int}-T_{ext}}{R_{th}}</t>
  </si>
  <si>
    <t>m C_m \\frac{\\Delta T}{\\Delta t}</t>
  </si>
  <si>
    <t>\\frac{T_{int}}{R_{th}}</t>
  </si>
  <si>
    <t>\\frac{T_{int}/T_{ext}}{R_{th}}</t>
  </si>
  <si>
    <t>Flux évacué par convection dans une armoire \\(\\Phi_c=\\)</t>
  </si>
  <si>
    <t>Débit massique \\(Q_m=\\)</t>
  </si>
  <si>
    <t>\\frac{\\Delta m}{\\Delta t}</t>
  </si>
  <si>
    <t>\\frac{\\Delta m}{\\Delta T}</t>
  </si>
  <si>
    <t>\\frac{\\Delta V}{\\Delta t}</t>
  </si>
  <si>
    <t>\\frac{\\Delta V}{\\Delta T}</t>
  </si>
  <si>
    <t>Débit volumique \\(Q_v=\\)</t>
  </si>
  <si>
    <t>\\rho Q_v</t>
  </si>
  <si>
    <t>\\frac{Q_v}{\\rho}</t>
  </si>
  <si>
    <t>Puissance perdue pour un appareil ne fonctionnant pas au nominal \\(P_p\\)</t>
  </si>
  <si>
    <t>P_{pn} \\frac{I_e^2}{I_{en}^2}</t>
  </si>
  <si>
    <t>P_{pn} \\frac{I_{en}^2}{I_{e}^2}</t>
  </si>
  <si>
    <t>P_{pn} {I_{en}^2}</t>
  </si>
  <si>
    <t>P_{pn}</t>
  </si>
  <si>
    <t>Puissance dissipée totale \\(\\Phi_{tot}=\\)</t>
  </si>
  <si>
    <t>\\Sigma P_p</t>
  </si>
  <si>
    <t>P_{p_{max}}</t>
  </si>
  <si>
    <t>P_{p_{min}}</t>
  </si>
  <si>
    <t>Flux thermique que doit évacuer le ventilateur \\(\\Phi_v=\\)</t>
  </si>
  <si>
    <t>\\Phi_T-\\Phi_c</t>
  </si>
  <si>
    <t>\\Phi_T+\\Phi_c</t>
  </si>
  <si>
    <t>\\frac{\\Phi_T}{\\Phi_c}</t>
  </si>
  <si>
    <t>\\Phi_c-\\Phi_T</t>
  </si>
  <si>
    <t>Puissance électrique \\(P=\\)</t>
  </si>
  <si>
    <t>VI cos \\varphi</t>
  </si>
  <si>
    <t>\\sqrt{3} UI cos \\varphi</t>
  </si>
  <si>
    <t>VI sin \\varphi</t>
  </si>
  <si>
    <t>\\frac{I}{R}</t>
  </si>
  <si>
    <t>Energie électrique \\(E=\\)</t>
  </si>
  <si>
    <t>VI\\Delta t</t>
  </si>
  <si>
    <t>\\frac{VI}{\\Delta t}</t>
  </si>
  <si>
    <t>V Q</t>
  </si>
  <si>
    <t>\\frac{Q}{\\Delta t}</t>
  </si>
  <si>
    <t>VI\\Delta T</t>
  </si>
  <si>
    <t>Loi des mailles</t>
  </si>
  <si>
    <t>U_1+U_2+…=0</t>
  </si>
  <si>
    <t>I_1+I_2+…=0</t>
  </si>
  <si>
    <t>I_{rentrant}=I_{sortant}</t>
  </si>
  <si>
    <t>I_{rentrant}=-I_{sortant}</t>
  </si>
  <si>
    <t>Loi des nœuds</t>
  </si>
  <si>
    <t>Puissance dans une résistance \\(P=\\)</t>
  </si>
  <si>
    <t>VI \\Delta t</t>
  </si>
  <si>
    <t>Générateur de Thevenin \\(V=\\)</t>
  </si>
  <si>
    <t>E-R_{int} I</t>
  </si>
  <si>
    <t>E+R_{int} I</t>
  </si>
  <si>
    <t>E+R_{int}+ I</t>
  </si>
  <si>
    <t>E-I</t>
  </si>
  <si>
    <t>Générateur de Norton \\(I=\\)</t>
  </si>
  <si>
    <t>I_0-\\frac{V}{R_{int}}</t>
  </si>
  <si>
    <t>I_0+\\frac{V}{R_{int}}</t>
  </si>
  <si>
    <t>I_0+R_{int}+ V</t>
  </si>
  <si>
    <t>I_0+V</t>
  </si>
  <si>
    <t>\\(1 Ah=\\)</t>
  </si>
  <si>
    <t>3600 C</t>
  </si>
  <si>
    <t>1Wh</t>
  </si>
  <si>
    <t>1000 C</t>
  </si>
  <si>
    <t>\\(1 Wh=\\)</t>
  </si>
  <si>
    <t>Valeur efficace de la tension U=</t>
  </si>
  <si>
    <t>3UI</t>
  </si>
  <si>
    <t>3VI</t>
  </si>
  <si>
    <t>\\sqrt{3}VI sin \\varphi</t>
  </si>
  <si>
    <t>Dans R triphasé couplé en étoile, P=</t>
  </si>
  <si>
    <t>Dans R triphasé couplé en étoile, Q=</t>
  </si>
  <si>
    <t>Dans L triphasé couplé en étoile, P=</t>
  </si>
  <si>
    <t>Dans L triphasé couplé en étoile, Q=</t>
  </si>
  <si>
    <t>Dans C triphasé couplé en étoile, P=</t>
  </si>
  <si>
    <t>Dans C triphasé couplé en étoile, Q=</t>
  </si>
  <si>
    <t>Dans R triphasé couplé en étoile, \\(F_p\\)=</t>
  </si>
  <si>
    <t>Dans L triphasé couplé en étoile, \\(F_p\\)=</t>
  </si>
  <si>
    <t>Dans C triphasé couplé en étoile, \\(F_p\\)=</t>
  </si>
  <si>
    <t>3RI^2</t>
  </si>
  <si>
    <t>3RI</t>
  </si>
  <si>
    <t>3\\frac{V}{R}</t>
  </si>
  <si>
    <t>3\\frac{V^2}{R}</t>
  </si>
  <si>
    <t>3 L\\omega I^2</t>
  </si>
  <si>
    <t>3 \\frac{V^2}{L\\omega}</t>
  </si>
  <si>
    <t>3 L\\omega I</t>
  </si>
  <si>
    <t xml:space="preserve"> -3C\\omega V^2</t>
  </si>
  <si>
    <t xml:space="preserve"> -3\\frac{1}{C\\omega}I^2</t>
  </si>
  <si>
    <t>3L\\omega I</t>
  </si>
  <si>
    <t xml:space="preserve"> -3 C\\omega V^2</t>
  </si>
  <si>
    <t xml:space="preserve"> -3C\\omega V</t>
  </si>
  <si>
    <t>3\\frac{V}{L\\omega}</t>
  </si>
  <si>
    <t xml:space="preserve"> -3C\\omega I</t>
  </si>
  <si>
    <t>120 \°</t>
  </si>
  <si>
    <t>60 \°</t>
  </si>
  <si>
    <t>180 \°</t>
  </si>
  <si>
    <t>120\°</t>
  </si>
  <si>
    <t>30 \°</t>
  </si>
  <si>
    <t>30\°</t>
  </si>
  <si>
    <t>VI_1\\cos\\varphi</t>
  </si>
  <si>
    <t>VI_1</t>
  </si>
  <si>
    <t>VI_1\\sin\\varphi</t>
  </si>
  <si>
    <t>VI \\sin \\varphi</t>
  </si>
  <si>
    <t>\\sqrt{P^2+Q^2+D^2 }</t>
  </si>
  <si>
    <t>Facteur de puissance \\(F_p\\)</t>
  </si>
  <si>
    <t>\\ne\\cos \\varphi</t>
  </si>
  <si>
    <t xml:space="preserve"> =\\cos \\varphi</t>
  </si>
  <si>
    <t xml:space="preserve"> =\\frac{S}{P}</t>
  </si>
  <si>
    <t xml:space="preserve"> =\\tan \\varphi</t>
  </si>
  <si>
    <t>Valeur efficace du courant I</t>
  </si>
  <si>
    <t xml:space="preserve"> ={I_{max}}{\\sqrt{2}}</t>
  </si>
  <si>
    <t>\\ne \\frac{I_{max}}{\\sqrt{2}}</t>
  </si>
  <si>
    <t xml:space="preserve"> ={I_{max}}{\\sqrt{3}}</t>
  </si>
  <si>
    <t xml:space="preserve"> = \\frac{I_{max}}{\\sqrt{2}}</t>
  </si>
  <si>
    <t>Puiissance déformante D=</t>
  </si>
  <si>
    <t>\\sqrt{S^2-P^2-Q^2}</t>
  </si>
  <si>
    <t>\\sqrt{S^2+P^2+Q^2}</t>
  </si>
  <si>
    <t>\\sqrt{S^2-P^2+Q^2}</t>
  </si>
  <si>
    <t>\\sqrt{S^2+P^2-Q^2}</t>
  </si>
  <si>
    <t>Déplacement du facteur de puissance \\(DFP\\)=</t>
  </si>
  <si>
    <t>cos \\varphi</t>
  </si>
  <si>
    <t>\\varphi</t>
  </si>
  <si>
    <t>\\sqrt{P_{tot}^2+Q_{tot}^2+D_{tot}^2}</t>
  </si>
  <si>
    <t>P_{tot}+Q_{tot}+D_{tot}</t>
  </si>
  <si>
    <t>Puissance déformante totale \\(D_{tot}\\)=</t>
  </si>
  <si>
    <t>\\sqrt{S_{tot}^2-P_{tot}^2-Q_{tot}^2}</t>
  </si>
  <si>
    <t>\\sqrt{D_1^2+D_2^2+...}</t>
  </si>
  <si>
    <t>D_1+D_2+…</t>
  </si>
  <si>
    <t>Taux de distorsion harmonique \\(THD_i\\)=</t>
  </si>
  <si>
    <t>Valeur efficace du courant \\(I\\)=</t>
  </si>
  <si>
    <t>\\frac{\\sqrt{I_2^2+I_3^2+…}}{I_1}</t>
  </si>
  <si>
    <t>\\frac{\\sqrt{I_1^2+I_2^2+I_3^2+…}}{I_1}</t>
  </si>
  <si>
    <t>\\frac{\\sqrt{I_2^2+I_3^2+…}}{I}</t>
  </si>
  <si>
    <t>\\frac{\\sqrt{I_1^2+I_2^2+I_3^2+…}}{I}</t>
  </si>
  <si>
    <t>\\frac{\\sqrt{I^2-I_1^2}}{I}</t>
  </si>
  <si>
    <t>\\sqrt{I_1^2+I^2_2+I_3^2+…}</t>
  </si>
  <si>
    <t>\\sqrt{I^2_2+I_3^2+…}</t>
  </si>
  <si>
    <t>I_1+I_2+I_3+…</t>
  </si>
  <si>
    <t>Fréquence de l'harmonique de rang n \\(f_n\\)=</t>
  </si>
  <si>
    <t>n f_1</t>
  </si>
  <si>
    <t>f_1</t>
  </si>
  <si>
    <t>\\frac{f_1}{n}</t>
  </si>
  <si>
    <t>f_1+n</t>
  </si>
  <si>
    <t>Rapport du transformateur \\(m=\\)</t>
  </si>
  <si>
    <t>\\frac{V_{20}}{V_1}</t>
  </si>
  <si>
    <t>\\frac{V_{2}}{V_1}</t>
  </si>
  <si>
    <t>\\frac{V_{1}}{V_2}</t>
  </si>
  <si>
    <t>\\frac{I_{1}}{I_2}</t>
  </si>
  <si>
    <t>Courant nominal au primaire \\(I_{1n}=\\)</t>
  </si>
  <si>
    <t>\\frac{S_n}{V_{1n}}</t>
  </si>
  <si>
    <t>\\frac{S_n}{V_{2n}}</t>
  </si>
  <si>
    <t>\\frac{S_n}{V_{20}}</t>
  </si>
  <si>
    <t>{S_n}{V_{1n}}</t>
  </si>
  <si>
    <t>Courant nominal au secondaire \\(I_{2n}=\\)</t>
  </si>
  <si>
    <t>Pertes Fer \\(P_F=\\)</t>
  </si>
  <si>
    <t>P_0</t>
  </si>
  <si>
    <t>P_{cc}</t>
  </si>
  <si>
    <t>P_0+P_{cc}</t>
  </si>
  <si>
    <t>P_0-P_{cc}</t>
  </si>
  <si>
    <t>\\frac{V_1^2}{R_F}</t>
  </si>
  <si>
    <t>\\frac{V_1}{R_F}</t>
  </si>
  <si>
    <t>Puissance réactive absorbée à vide \\(Q_0=\\)</t>
  </si>
  <si>
    <t>\\frac{V_1^2}{L_m \\omega}</t>
  </si>
  <si>
    <t>\\frac{V_1^2}{L_m }</t>
  </si>
  <si>
    <t>Pertes joules \\(P_j\\)=</t>
  </si>
  <si>
    <t>R_s I_{2cc}^2</t>
  </si>
  <si>
    <t>R_F I_{10}^2</t>
  </si>
  <si>
    <t>R_F I_{2cc}^2</t>
  </si>
  <si>
    <t>{L_m \\omega} I_{10}^2</t>
  </si>
  <si>
    <t>{L_m \\omega} I_{2cc}^2</t>
  </si>
  <si>
    <t>R_s I_{2cc}</t>
  </si>
  <si>
    <t>\\frac{V_{20}}{R_s}</t>
  </si>
  <si>
    <t>\\frac{V_{1cc}}{R_s}</t>
  </si>
  <si>
    <t>Puissance réactive absorbée en court circuit \\(Q_{cc}\\)=</t>
  </si>
  <si>
    <t>L_s \\omega I^2_{2cc}</t>
  </si>
  <si>
    <t>L_s  I^2_{2cc}</t>
  </si>
  <si>
    <t>\\frac{V_{1cc}}{L_s \\omega}</t>
  </si>
  <si>
    <t>\\frac{V_{20}}{L_s \\omega}</t>
  </si>
  <si>
    <t>Puissance utile \\(P_2=\\)</t>
  </si>
  <si>
    <t>V_2I_2</t>
  </si>
  <si>
    <t>V_1I_1</t>
  </si>
  <si>
    <t>V_2I_2 cos \\varphi_2</t>
  </si>
  <si>
    <t>V_1I_1 cos \\varphi_1</t>
  </si>
  <si>
    <t>Puissance absorbée \\(P_1=\\)</t>
  </si>
  <si>
    <t>P_2+P_j+P_F</t>
  </si>
  <si>
    <t>P_2+P_j</t>
  </si>
  <si>
    <t>P_2+P_F</t>
  </si>
  <si>
    <t>P_2+P_j-P_F</t>
  </si>
  <si>
    <t>P_{cc} \\frac{I_2^2}{I_{2cc}^2}</t>
  </si>
  <si>
    <t>P_{cc} \\frac{I_{2cc}^2}{I_2^2}</t>
  </si>
  <si>
    <t>R_s I_2</t>
  </si>
  <si>
    <t>Réactance en sortie \\(X_s\\)=</t>
  </si>
  <si>
    <t>L_s \\omega</t>
  </si>
  <si>
    <t>R_s</t>
  </si>
  <si>
    <t>Z_s</t>
  </si>
  <si>
    <t>\\sqrt{R_s^2+(L_s \\omega)^2}</t>
  </si>
  <si>
    <t>Impédance au secondaire \\(Z_s=\\)</t>
  </si>
  <si>
    <t>R_s +L_s</t>
  </si>
  <si>
    <t>Pertes joules nominales \\(P_{jn}\\)=</t>
  </si>
  <si>
    <t>R_s I_{2}^2</t>
  </si>
  <si>
    <t>R_s I_{1}^2</t>
  </si>
  <si>
    <t>\\frac{V_2^2}{R_s}</t>
  </si>
  <si>
    <t>\\frac{V_1^2}{R_s}</t>
  </si>
  <si>
    <t>\\frac{mV_{1cc}}{I_{2cc}}</t>
  </si>
  <si>
    <t>\\frac{V_{1cc}}{I_{2cc}}</t>
  </si>
  <si>
    <t>\\frac{V_{2cc}}{I_{2cc}}</t>
  </si>
  <si>
    <t>\\frac{mV_{2cc}}{I_{2cc}}</t>
  </si>
  <si>
    <t>Courant de court circuit \\(I_{k}\\)</t>
  </si>
  <si>
    <t>\\frac{mV_{1}}{Z_{s}}</t>
  </si>
  <si>
    <t>\\frac{mV_{1}}{R_{s}}</t>
  </si>
  <si>
    <t>\\frac{mV_{1}}{L_{s}}</t>
  </si>
  <si>
    <t>\\frac{mV_{1}}{L_{s}\\omega}</t>
  </si>
  <si>
    <t>Chute de tension \\(\\Delta V\\)</t>
  </si>
  <si>
    <t>I_2 ( R_s cos \\varphi+X_s sin \\varphi)</t>
  </si>
  <si>
    <t>I_1 ( R_s cos \\varphi+X_s sin \\varphi)</t>
  </si>
  <si>
    <t>I_1 ( R_F cos \\varphi+X_m sin \\varphi)</t>
  </si>
  <si>
    <t>I_2 ( R_F cos \\varphi+X_m sin \\varphi)</t>
  </si>
  <si>
    <t>Rendement du transformateur \\(\\eta\\)=</t>
  </si>
  <si>
    <t>\\frac{P_u}{P_a-P_p}</t>
  </si>
  <si>
    <t>\\frac{P_u-P_p}{P_a}</t>
  </si>
  <si>
    <t>\\frac{V_{a0}}{V_A}</t>
  </si>
  <si>
    <t>\\frac{V_{a}}{V_A}</t>
  </si>
  <si>
    <t>\\frac{V_{A}}{V_a}</t>
  </si>
  <si>
    <t>\\frac{U_{AB}}{U_{ab}}</t>
  </si>
  <si>
    <t>\\frac{U_{ab0}}{U_{AB}}</t>
  </si>
  <si>
    <t>\\frac{S_n}{V_{A}}</t>
  </si>
  <si>
    <t>\\frac{S_n}{3V_{A}}</t>
  </si>
  <si>
    <t>\\frac{S_n}{3V_{a}}</t>
  </si>
  <si>
    <t>{S_n}{V_{A}}</t>
  </si>
  <si>
    <t>\\frac{S_n}{U_{AB}}</t>
  </si>
  <si>
    <t>\\frac{S_n}{\\sqrt{3}U_{ab}}</t>
  </si>
  <si>
    <t>\\frac{S_n}{\\sqrt{3}U_{AB}}</t>
  </si>
  <si>
    <t>\\frac{S_n}{U_{ab}}</t>
  </si>
  <si>
    <t>3L_s \\omega</t>
  </si>
  <si>
    <t>3P_2+P_j+P_F</t>
  </si>
  <si>
    <t>3\\frac{V_{A}^2}{R_F}</t>
  </si>
  <si>
    <t>3\\frac{V_A^2}{L_m \\omega}</t>
  </si>
  <si>
    <t>3R_F I_{A0}^2</t>
  </si>
  <si>
    <t>3{L_m \\omega} I_{A0}^2</t>
  </si>
  <si>
    <t>3R_F I_{acc}^2</t>
  </si>
  <si>
    <t>3{L_m \\omega} I_{acc}^2</t>
  </si>
  <si>
    <t>\\frac{V_A^2}{L_m \\omega}</t>
  </si>
  <si>
    <t>\\frac{V_A^2}{R_F}</t>
  </si>
  <si>
    <t>3R_s I_{acc}^2</t>
  </si>
  <si>
    <t>3R_s I_{acc}</t>
  </si>
  <si>
    <t>3\\frac{V_{acc}}{R_s}</t>
  </si>
  <si>
    <t>R_s I_{acc}^2</t>
  </si>
  <si>
    <t>L_s \\omega I^2_{acc}</t>
  </si>
  <si>
    <t>\\frac{V_{acc}}{L_s \\omega}</t>
  </si>
  <si>
    <t>L_s  I^2_{acc}</t>
  </si>
  <si>
    <t>3L_s \\omega I^2_{acc}</t>
  </si>
  <si>
    <t>3V_aI_a cos \\varphi_2</t>
  </si>
  <si>
    <t>3V_aI_a</t>
  </si>
  <si>
    <t>3V_AI_A cos \\varphi_1</t>
  </si>
  <si>
    <t>3V_AI_A</t>
  </si>
  <si>
    <t>P_{cc} \\frac{I_a^2}{I_{acc}^2}</t>
  </si>
  <si>
    <t>P_{cc} \\frac{I_{acc}^2}{I_a^2}</t>
  </si>
  <si>
    <t>3P_{cc} \\frac{I_a^2}{I_{acc}^2}</t>
  </si>
  <si>
    <t>3R_s I_{a}^2</t>
  </si>
  <si>
    <t>3R_s I_{A}^2</t>
  </si>
  <si>
    <t>3\\frac{V_a^2}{R_s}</t>
  </si>
  <si>
    <t>R_s I_{a}^2</t>
  </si>
  <si>
    <t>\\frac{mV_{Acc}}{I_{acc}}</t>
  </si>
  <si>
    <t>\\frac{mU_{ABcc}}{I_{acc}}</t>
  </si>
  <si>
    <t>\\frac{V_{acc}}{I_{acc}}</t>
  </si>
  <si>
    <t>\\frac{mV_{acc}}{I_{acc}}</t>
  </si>
  <si>
    <t>\\frac{mV_{A}}{Z_{s}}</t>
  </si>
  <si>
    <t>\\frac{mV_{A}}{L_{s}}</t>
  </si>
  <si>
    <t>\\frac{mV_{A}}{L_{s}\\omega}</t>
  </si>
  <si>
    <t>3\\frac{mV_{A}}{Z_{s}}</t>
  </si>
  <si>
    <t>I_a ( R_s cos \\varphi+X_s sin \\varphi)</t>
  </si>
  <si>
    <t>\\sqrt{3} I_a ( R_s cos \\varphi+X_s sin \\varphi)</t>
  </si>
  <si>
    <t>3 I_a ( R_s cos \\varphi+X_s sin \\varphi)</t>
  </si>
  <si>
    <t xml:space="preserve"> I_a ( R_s cos \\varphi+X_s sin \\varphi)</t>
  </si>
  <si>
    <t>I_a ( R_F cos \\varphi+X_m sin \\varphi)</t>
  </si>
  <si>
    <t>3\\frac{P_u}{P_a}</t>
  </si>
  <si>
    <t>Chute de tension \\(\\Delta U\\)</t>
  </si>
  <si>
    <t>\\pi R^2 h</t>
  </si>
  <si>
    <t>2\\pi R h</t>
  </si>
  <si>
    <t>2\\pi R^2 h</t>
  </si>
  <si>
    <t>\\frac{4}{3}\\pi R^2 h</t>
  </si>
  <si>
    <t>Masse d'un objet \\(m=\\)</t>
  </si>
  <si>
    <t>\\rho V</t>
  </si>
  <si>
    <t>P</t>
  </si>
  <si>
    <t>\\frac{V}{\\rho}</t>
  </si>
  <si>
    <t>\\frac{\\rho}{V}</t>
  </si>
  <si>
    <t>Accélération \\(a=\\)</t>
  </si>
  <si>
    <t>v \\Delta t</t>
  </si>
  <si>
    <t>\\frac{dv}{dx}</t>
  </si>
  <si>
    <t>Vitesse \\(v=\\)</t>
  </si>
  <si>
    <t>\\frac{dx}{dt}</t>
  </si>
  <si>
    <t>x\\Delta t</t>
  </si>
  <si>
    <t>\\frac{da}{dx}</t>
  </si>
  <si>
    <t>Distance \\(x\\)</t>
  </si>
  <si>
    <t>Aire(v)</t>
  </si>
  <si>
    <t>Aire(a)</t>
  </si>
  <si>
    <t>\\frac{dv}{dt}</t>
  </si>
  <si>
    <t>\\frac{da}{dt}</t>
  </si>
  <si>
    <t>\\(v(m/s)\\)=</t>
  </si>
  <si>
    <t>\\frac{v(km/h)}{3,6}</t>
  </si>
  <si>
    <t>\\frac{v(km/h)}{360}</t>
  </si>
  <si>
    <t>\\frac{v(km/h)}{100}</t>
  </si>
  <si>
    <t>\\frac{v(km/h)}{3600}</t>
  </si>
  <si>
    <t>m</t>
  </si>
  <si>
    <t>C_m-C_R</t>
  </si>
  <si>
    <t>F</t>
  </si>
  <si>
    <t>\\Sigma F</t>
  </si>
  <si>
    <t>\\frac{1}{2}mv^2</t>
  </si>
  <si>
    <t>\\frac{1}{2}mv</t>
  </si>
  <si>
    <t>mgh</t>
  </si>
  <si>
    <t>F AB</t>
  </si>
  <si>
    <t>Energie potentielle \\(E_p=\\)</t>
  </si>
  <si>
    <t>Energie cinétique \\(E_c=\\)</t>
  </si>
  <si>
    <t>Travail d'une force \\(W=\\)</t>
  </si>
  <si>
    <t>Puissance mécanique \\(P=\\)</t>
  </si>
  <si>
    <t>Fv</t>
  </si>
  <si>
    <t>Fa</t>
  </si>
  <si>
    <t>ma</t>
  </si>
  <si>
    <t>Expression du poids \\(P=\\)</t>
  </si>
  <si>
    <t>mg</t>
  </si>
  <si>
    <t>g</t>
  </si>
  <si>
    <t>Poussée d'Archimède \\(\\Pi=\\)</t>
  </si>
  <si>
    <t>\\rho gV</t>
  </si>
  <si>
    <t>\\rho gh</t>
  </si>
  <si>
    <t>Volume d'un cylindre \\(V=\\)</t>
  </si>
  <si>
    <t>Moment d'inertie d'un cylindre \\(J=\\)</t>
  </si>
  <si>
    <t>\\frac{1}{2}mR^2</t>
  </si>
  <si>
    <t>mR^2</t>
  </si>
  <si>
    <t>\\frac{1}{2}mD^2</t>
  </si>
  <si>
    <t>Couple \\(C=\\)</t>
  </si>
  <si>
    <t>FR</t>
  </si>
  <si>
    <t>FD</t>
  </si>
  <si>
    <t>\\frac{F}{R}</t>
  </si>
  <si>
    <t>\\Omega \\Delta t</t>
  </si>
  <si>
    <t>\\frac{d\\Omega}{d\\theta}</t>
  </si>
  <si>
    <t>\\frac{d\\theta}{dt}</t>
  </si>
  <si>
    <t>\\theta \\Delta t</t>
  </si>
  <si>
    <t>\\frac{d\\gamma}{d\\theta}</t>
  </si>
  <si>
    <t>Accélération angulaire \\(\\gamma=\\)</t>
  </si>
  <si>
    <t>Angle \\(\\theta\\)</t>
  </si>
  <si>
    <t>Aire(\\Omega)</t>
  </si>
  <si>
    <t>Aire(\\gamma)</t>
  </si>
  <si>
    <t>\\frac{d\\Omega}{dt}</t>
  </si>
  <si>
    <t>\\frac{d\\gamma}{dt}</t>
  </si>
  <si>
    <t>\\(\\Omega(rad/s)\\)=</t>
  </si>
  <si>
    <t>\\frac{2\\pi n (tr/min)}{60}</t>
  </si>
  <si>
    <t>2\\pi n (tr/min)</t>
  </si>
  <si>
    <t>\\frac{2\\pi n (tr/min)}{360}</t>
  </si>
  <si>
    <t>\\frac{2\\pi n (tr/min)}{3600}</t>
  </si>
  <si>
    <t>Principe fondamental de la dynamique \\(J \\frac{d\\Omega}{dt}=\\)</t>
  </si>
  <si>
    <t>C_m+C_R</t>
  </si>
  <si>
    <t>\\frac{1}{2}J \\Omega^2</t>
  </si>
  <si>
    <t>\\frac{1}{2}J n^2</t>
  </si>
  <si>
    <t>C \\theta</t>
  </si>
  <si>
    <t>C \\Omega</t>
  </si>
  <si>
    <t>Rapport d'un réducteur \\(k=\\)</t>
  </si>
  <si>
    <t>\\frac{\\Omega_m}{\\Omega}</t>
  </si>
  <si>
    <t>\\frac{C_m}{C}</t>
  </si>
  <si>
    <t>\\frac{C}{C_m}</t>
  </si>
  <si>
    <t>Relation vitesse  \\(v=\\)</t>
  </si>
  <si>
    <t>R \\Omega</t>
  </si>
  <si>
    <t>\\frac{\\Omega}{R}</t>
  </si>
  <si>
    <t>\\frac{\\Omega}{D}</t>
  </si>
  <si>
    <t>\\frac{\\Omega}{2 \\pi R}</t>
  </si>
  <si>
    <t>Pression \\(P=\\)</t>
  </si>
  <si>
    <t>\\frac{F}{S}</t>
  </si>
  <si>
    <t>{F}{S}</t>
  </si>
  <si>
    <t>\\frac{m}{S}</t>
  </si>
  <si>
    <t>{m}{S}</t>
  </si>
  <si>
    <t>Statique des fluides : Pression \\(\\Delta P=\\)</t>
  </si>
  <si>
    <t>\\rho g h</t>
  </si>
  <si>
    <t xml:space="preserve">\\rho g </t>
  </si>
  <si>
    <t>m g h</t>
  </si>
  <si>
    <t>Masse volumique \\(\\rho=\\)</t>
  </si>
  <si>
    <t>\\frac{m}{V}</t>
  </si>
  <si>
    <t>\\frac{V}{m}</t>
  </si>
  <si>
    <t>{m}{V}</t>
  </si>
  <si>
    <t>Q_v</t>
  </si>
  <si>
    <t>\\rho Q_m</t>
  </si>
  <si>
    <t xml:space="preserve">\\frac{Q_m}{\\rho} </t>
  </si>
  <si>
    <t>A l'interface liquide/air \\(P_{liquide}=\\)</t>
  </si>
  <si>
    <t>P_{air}</t>
  </si>
  <si>
    <t>\\frac{P_{air}}{2}</t>
  </si>
  <si>
    <t>\\frac{P_{air}}{\\pi}</t>
  </si>
  <si>
    <t>vS</t>
  </si>
  <si>
    <t>vD</t>
  </si>
  <si>
    <t>vR</t>
  </si>
  <si>
    <t>\\frac{v}{S}</t>
  </si>
  <si>
    <t>Section d'un cylindre \\(S=\\)</t>
  </si>
  <si>
    <t>\\pi R^2</t>
  </si>
  <si>
    <t>\\pi R</t>
  </si>
  <si>
    <t xml:space="preserve">2 \\pi R </t>
  </si>
  <si>
    <t>\\pi D</t>
  </si>
  <si>
    <t>Charge d'une batterie \\(Q=\\)</t>
  </si>
  <si>
    <t>I \\Delta t</t>
  </si>
  <si>
    <t>I \\Delta T</t>
  </si>
  <si>
    <t>\\frac{I}{\\Delta t}</t>
  </si>
  <si>
    <t>\\frac{I}{\\Delta T}</t>
  </si>
  <si>
    <t>Energie stockée \\(W=\\)</t>
  </si>
  <si>
    <t>QV</t>
  </si>
  <si>
    <t>IV</t>
  </si>
  <si>
    <t>\\frac{Q}{I}</t>
  </si>
  <si>
    <t>\\frac{E}{\\Delta t}</t>
  </si>
  <si>
    <t>Energie volumique \\(W_v=\\)</t>
  </si>
  <si>
    <t>\\frac{W}{V}</t>
  </si>
  <si>
    <t>\\frac{W}{m}</t>
  </si>
  <si>
    <t>\\frac{W}{\\Delta t}</t>
  </si>
  <si>
    <t>\\frac{W}{\\Delta T}</t>
  </si>
  <si>
    <t>\\frac{P_{charge}}{P_{décharge}}</t>
  </si>
  <si>
    <t>Modèle de Thévenin  en convention récepteur \\(V=\\)</t>
  </si>
  <si>
    <t>E+R_{int}I</t>
  </si>
  <si>
    <t>E-R_{int}I</t>
  </si>
  <si>
    <t>E+R_{int}+I</t>
  </si>
  <si>
    <t>E</t>
  </si>
  <si>
    <t>Modèle de Thévenin  en convention générateur \\(V=\\)</t>
  </si>
  <si>
    <t>Tension aux bornes de 2 batteries en série \\(V_{ensemble}\\)</t>
  </si>
  <si>
    <t>2V</t>
  </si>
  <si>
    <t>V</t>
  </si>
  <si>
    <t>\\frac{V}{2}</t>
  </si>
  <si>
    <t>?</t>
  </si>
  <si>
    <t>Tension aux bornes de 2 batteries en parallèle  \\(V_{ensemble}\\)</t>
  </si>
  <si>
    <t>Courant fourni par 2 batteries en série \\(I_{ensemble}\\)</t>
  </si>
  <si>
    <t>I</t>
  </si>
  <si>
    <t>2I</t>
  </si>
  <si>
    <t>\\frac{I}{2}</t>
  </si>
  <si>
    <t>Energie stockée dans 2 batteries en série \\(W_{ensemble}\\)</t>
  </si>
  <si>
    <t>Energie stockée dans 2 batteries en parallèle  \\(W_{ensemble}\\)</t>
  </si>
  <si>
    <t>2W</t>
  </si>
  <si>
    <t>W</t>
  </si>
  <si>
    <t>\\frac{W}{2}</t>
  </si>
  <si>
    <t>Capacité totale de 2 batteries en série \\(Q_{ensemble}\\)</t>
  </si>
  <si>
    <t>Capacité totale de 2 batteries en parallèle  \\(Q_{ensemble}\\)</t>
  </si>
  <si>
    <t>Q</t>
  </si>
  <si>
    <t>2Q</t>
  </si>
  <si>
    <t>\\frac{Q}{2}</t>
  </si>
  <si>
    <t>Profondeur de décharge \\(PDC=\\)</t>
  </si>
  <si>
    <t>\\frac{W_{max}-W_{stock}}{W_{max}}</t>
  </si>
  <si>
    <t>\\frac{W_{stock}}{W_{max}}</t>
  </si>
  <si>
    <t>\\frac{W_{max}-W_{stock}}{W_{stock}}</t>
  </si>
  <si>
    <t>\\frac{W_{max}}{W_{stock}}</t>
  </si>
  <si>
    <t>Etat de charge \\(SOC=\\)</t>
  </si>
  <si>
    <t>Energie libérée lors d'une combustion \\(E=\\)</t>
  </si>
  <si>
    <t>PC</t>
  </si>
  <si>
    <t>P \\times C</t>
  </si>
  <si>
    <t>PC \\times m</t>
  </si>
  <si>
    <t>P \\times C \\times m</t>
  </si>
  <si>
    <t>Fréquence \\(f=\\)</t>
  </si>
  <si>
    <t>T</t>
  </si>
  <si>
    <t>\\frac{\\omega}{T}</t>
  </si>
  <si>
    <t>Célérité de la lumière \\(c=\\)</t>
  </si>
  <si>
    <t>\\frac{\\Delta x}{\\Delta t}</t>
  </si>
  <si>
    <t>\\frac{1}{f}</t>
  </si>
  <si>
    <t>\\frac{\\lambda}{T}</t>
  </si>
  <si>
    <t>\\frac{\\Delta x}{ T}</t>
  </si>
  <si>
    <t>\\frac{\\Delta x}{T}</t>
  </si>
  <si>
    <t>\\frac{\\lambda}{\\Delta t}</t>
  </si>
  <si>
    <t>&lt;3000</t>
  </si>
  <si>
    <t>&gt;5000</t>
  </si>
  <si>
    <t>Température de couleur chaude \\(T\\)</t>
  </si>
  <si>
    <t>Flux lumineux \\(\\Phi=\\)</t>
  </si>
  <si>
    <t>\\Omega I</t>
  </si>
  <si>
    <t>\\frac{I}{\\Omega}</t>
  </si>
  <si>
    <t xml:space="preserve">\\Omega </t>
  </si>
  <si>
    <t>Efficacité lumineuse \\(\\eta=\\)</t>
  </si>
  <si>
    <t>\\frac{\\Phi}{P_a}</t>
  </si>
  <si>
    <t>\\frac{P_a}{\\Phi}</t>
  </si>
  <si>
    <t>\\frac{I}{\\Phi}</t>
  </si>
  <si>
    <t>\\frac{I}{P_a}</t>
  </si>
  <si>
    <t>Eclairement \\(E=\\)</t>
  </si>
  <si>
    <t>\\frac{\\Phi}{S}</t>
  </si>
  <si>
    <t>\\frac{\\Phi}{h^2}</t>
  </si>
  <si>
    <t>\\frac{I}{S}</t>
  </si>
  <si>
    <t>\\frac{I}{h}</t>
  </si>
  <si>
    <t>Uniformité \\(U_0=\\)</t>
  </si>
  <si>
    <t>\\frac{E_{min}}{E_{max}}</t>
  </si>
  <si>
    <t>\\frac{E_{min}}{E_{moy}}</t>
  </si>
  <si>
    <t>\\frac{E_{moy}}{E_{max}}</t>
  </si>
  <si>
    <t>\\frac{I}{h^2} (cos \\alpha)^3</t>
  </si>
  <si>
    <t>Surface éclairée pour un disque \\(S=\\)</t>
  </si>
  <si>
    <t>2 \\pi R</t>
  </si>
  <si>
    <t>2 \\pi R^2</t>
  </si>
  <si>
    <t>Luminance \\(L=\\)</t>
  </si>
  <si>
    <t>\\frac{I}{S_{source}}</t>
  </si>
  <si>
    <t>\\frac{\\Phi}{S_{source}}</t>
  </si>
  <si>
    <t>\\frac{\\Phi}{S_{éclairée}}</t>
  </si>
  <si>
    <t>\\frac{I}{S_{éclairée}}</t>
  </si>
  <si>
    <t>Rayon du disque éclairé au sol \\(R=\\)</t>
  </si>
  <si>
    <t>\\frac{h}{cos \\alpha}</t>
  </si>
  <si>
    <t>\\Phi</t>
  </si>
  <si>
    <t>\\Phi S</t>
  </si>
  <si>
    <t>Modèle de Norton  en convention générateur \\(I=\\)</t>
  </si>
  <si>
    <t>\\frac{W_{décharge}}{W{charge}}</t>
  </si>
  <si>
    <t>\\frac{P_{elec}}{P_{S}}</t>
  </si>
  <si>
    <t>Puissance électrique fournie par un panneau PV \\(P_S=\\)</t>
  </si>
  <si>
    <t>Puissance électrique fournie par un panneau PV \\(P_{elec}=\\)</t>
  </si>
  <si>
    <t>\\frac{P_{S}}{P_{elec}}</t>
  </si>
  <si>
    <t>{P_{S}}{P_{elec}}</t>
  </si>
  <si>
    <t>P_{elec}</t>
  </si>
  <si>
    <t>I_0+ R_{int}+V</t>
  </si>
  <si>
    <t>I_0+ R_{int}-V</t>
  </si>
  <si>
    <t>Tension aux bornes de 2 Panneaux PV en série \\(V_{ensemble}\\)</t>
  </si>
  <si>
    <t>Tension aux bornes de 2 Panneaux PV en parallèle  \\(V_{ensemble}\\)</t>
  </si>
  <si>
    <t>Courant fourni par 2 Panneaux PV en série \\(I_{ensemble}\\)</t>
  </si>
  <si>
    <t>Courant fourni par 2 Panneaux PV en parallèle  \\(V_{ensemble}\\)</t>
  </si>
  <si>
    <t>Puissance fournie par 2 Panneaux PV en série \\(P_{ensemble}\\)</t>
  </si>
  <si>
    <t>Puissance fournie par 2 Panneaux PV en parallèle  \\(P_{ensemble}\\)</t>
  </si>
  <si>
    <t>Courant fourni par 2 batteries en parallèle  \\(I_{ensemble}\\)</t>
  </si>
  <si>
    <t>2P</t>
  </si>
  <si>
    <t>\\frac{P}{2}</t>
  </si>
  <si>
    <t>Résistance interne \\(R_{int}=\\)</t>
  </si>
  <si>
    <t>\\frac{\\Delta V}{\\Delta I}</t>
  </si>
  <si>
    <t>\\frac{\\Delta I}{\\Delta V}</t>
  </si>
  <si>
    <t>\\frac{ V}{ I}</t>
  </si>
  <si>
    <t>\\frac{ I}{ V}</t>
  </si>
  <si>
    <t>P_i+P_e</t>
  </si>
  <si>
    <t>P_i</t>
  </si>
  <si>
    <t>P_e</t>
  </si>
  <si>
    <t>\\frac{P_i}{P_e}</t>
  </si>
  <si>
    <t>Puissance à l'inducteur \\(P_e=\\)</t>
  </si>
  <si>
    <t>R_e I_e</t>
  </si>
  <si>
    <t>V_e I_e</t>
  </si>
  <si>
    <t>V_e I_e cos \\varphi</t>
  </si>
  <si>
    <t>\\frac{V_e}{R_e}</t>
  </si>
  <si>
    <t>R_e I_e^2</t>
  </si>
  <si>
    <t>\\frac{V_e^2}{R_e}</t>
  </si>
  <si>
    <t>Puissance absorbée à l'induit \\(P_i=\\)</t>
  </si>
  <si>
    <t>R I^2</t>
  </si>
  <si>
    <t>Pertes joules à l'induit \\(P_{ji}=\\)</t>
  </si>
  <si>
    <t xml:space="preserve">R I^2 </t>
  </si>
  <si>
    <t>Puissance électromagnétique \\(P_{em}=\\)</t>
  </si>
  <si>
    <t>EI</t>
  </si>
  <si>
    <t>C_u \\Omega</t>
  </si>
  <si>
    <t>C_{em} \\Omega</t>
  </si>
  <si>
    <t>C_{em} \\Omega^2</t>
  </si>
  <si>
    <t>\\frac{C_{em}}{ \\Omega}</t>
  </si>
  <si>
    <t>Pertes mécaniques \\(P_{pm}=\\)</t>
  </si>
  <si>
    <t>Puissance utile \\(P_{u}=\\)</t>
  </si>
  <si>
    <t>Rendement du moteur \\(\\eta=\\)</t>
  </si>
  <si>
    <t>\\frac{P_u}{P_i}</t>
  </si>
  <si>
    <t>\\frac{P_u}{P_e}</t>
  </si>
  <si>
    <t>E-RI</t>
  </si>
  <si>
    <t>E+R</t>
  </si>
  <si>
    <t>Relation sur les tensions à l'induit \\(V=\\)</t>
  </si>
  <si>
    <t>Force électromotrice \\(E=\\)</t>
  </si>
  <si>
    <t>K \\Omega</t>
  </si>
  <si>
    <t>K I</t>
  </si>
  <si>
    <t>\\frac{\\Omega}{K}</t>
  </si>
  <si>
    <t>Vitesse de rotation \\(\\Omega=\\)</t>
  </si>
  <si>
    <t>\\frac{2 \\pi n}{60}</t>
  </si>
  <si>
    <t>\\frac{n}{60}</t>
  </si>
  <si>
    <t>{2 \\pi n}</t>
  </si>
  <si>
    <t>\\frac{2 \\pi n}{360}</t>
  </si>
  <si>
    <t>Couple électromagnétique \\(C_{em}\\)</t>
  </si>
  <si>
    <t>\\frac{E}{I}</t>
  </si>
  <si>
    <t>\\frac{E}{\\Omega}</t>
  </si>
  <si>
    <t>Couple utile \\(C_u=\\)</t>
  </si>
  <si>
    <t>\\eta C_{em}</t>
  </si>
  <si>
    <t>\\eta P_{u}</t>
  </si>
  <si>
    <t>C_u-C_R</t>
  </si>
  <si>
    <t>C_u-C_em</t>
  </si>
  <si>
    <t>Vitesse de synchronisme \\(n_s=\\)</t>
  </si>
  <si>
    <t>\\frac{60 f}{p}</t>
  </si>
  <si>
    <t>\\frac{60 f}{P}</t>
  </si>
  <si>
    <t>\\frac{\\omega}{p}</t>
  </si>
  <si>
    <t>n</t>
  </si>
  <si>
    <t>\\frac{n_s-n}{n_s}</t>
  </si>
  <si>
    <t>\\frac{n}{n_s}</t>
  </si>
  <si>
    <t>\\frac{n-n_s}{n_s}</t>
  </si>
  <si>
    <t>\\frac{n_s}{n_s-n}</t>
  </si>
  <si>
    <t>UI</t>
  </si>
  <si>
    <t>\\sqrt{3} VI cos \\varphi</t>
  </si>
  <si>
    <t>\\frac{3}{2}RI^2</t>
  </si>
  <si>
    <t>C_{em} \\Omega_s</t>
  </si>
  <si>
    <t>Pertes joules rotoriques \\(P_{jr}=\\)</t>
  </si>
  <si>
    <t>g P_{em}</t>
  </si>
  <si>
    <t>(1-g) P_{em}</t>
  </si>
  <si>
    <t>\\frac{1-g}{g} P_{em}</t>
  </si>
  <si>
    <t>g P_{a}</t>
  </si>
  <si>
    <t>Pertes fer rotoriques \\(P_{fr}=\\)</t>
  </si>
  <si>
    <t>P_{em}</t>
  </si>
  <si>
    <t>P_{jr}+P_{js}</t>
  </si>
  <si>
    <t>Puissance totale absorbée \\(P_a=\\)</t>
  </si>
  <si>
    <t>Puissance mécanique \\(P_m=\\)</t>
  </si>
  <si>
    <t>C_{em}-C_f</t>
  </si>
  <si>
    <t>C_{em}+C_f</t>
  </si>
  <si>
    <t>C_u-C_f</t>
  </si>
  <si>
    <t>C_f \\Omega</t>
  </si>
  <si>
    <t>P_a-P_{js}-P_{fs}-P_{jr}-P_{pm}</t>
  </si>
  <si>
    <t>P_a-P_{js}-P_{fs}-P_{jr}-P_{pm}-P_{em}</t>
  </si>
  <si>
    <t>(1-g) P_a</t>
  </si>
  <si>
    <t>Vitesse de rotation \\(n=\\)</t>
  </si>
  <si>
    <t>2 \\pi \\Omega</t>
  </si>
  <si>
    <t>Puissance absorbée à l'induit \\(P_{ai}=\\)</t>
  </si>
  <si>
    <t>Puissance absorbée \\(P_{a}=\\)</t>
  </si>
  <si>
    <t>P_e+P_{ai}</t>
  </si>
  <si>
    <t>P_a-P_{js}-P_{fs}-P_{je}-P_{pm}</t>
  </si>
  <si>
    <t>Pertes joules statoriques \\(P_{js}=\\)</t>
  </si>
  <si>
    <t>C_{em} n</t>
  </si>
  <si>
    <t>Pertes collectives \\(P_c=\\)</t>
  </si>
  <si>
    <t>P_{fs}+P_{pm}</t>
  </si>
  <si>
    <t>P_{fs}</t>
  </si>
  <si>
    <t>P_{pm}</t>
  </si>
  <si>
    <t>P_{fs}-P_{pm}</t>
  </si>
  <si>
    <t>Puissance à l'inducteur (si bobiné !) \\(P_e=\\)</t>
  </si>
  <si>
    <t>Sensibilité \\(S=\\)</t>
  </si>
  <si>
    <t>2^n-1</t>
  </si>
  <si>
    <t>\\frac{\\Delta s}{2^n-1}</t>
  </si>
  <si>
    <t>\\frac{\\Delta m}{2^n-1}</t>
  </si>
  <si>
    <t>Résolution du convertisseur CAN \\(q=\\)</t>
  </si>
  <si>
    <t>\\frac{V_{max}-V_{min}}{2^n-1}</t>
  </si>
  <si>
    <t>\\frac{V_{max}}{2^n-1}</t>
  </si>
  <si>
    <t>\\frac{V_{max}+V_{min}}{2^n-1}</t>
  </si>
  <si>
    <t>\\frac{V_{min}}{2^n-1}</t>
  </si>
  <si>
    <t>Résolution de la chaine de mesure  \\(q=\\)</t>
  </si>
  <si>
    <t>Dépassement \\(D=\\)</t>
  </si>
  <si>
    <t>Erreur absolue \\(\\epsilon=\\)</t>
  </si>
  <si>
    <t>\\frac{X_{s max}-X_{c}}{X_{c}}</t>
  </si>
  <si>
    <t>Nombre de valeur pour un signal n bits</t>
  </si>
  <si>
    <t>2^n</t>
  </si>
  <si>
    <t>2n</t>
  </si>
  <si>
    <t>Valeur la plus grande pour un signal n bits</t>
  </si>
  <si>
    <t>Résistance thermique en conduction \\(R_{th}=\\)</t>
  </si>
  <si>
    <t>Résistance thermique en convection \\(R_{th}=\\)</t>
  </si>
  <si>
    <t>Flux évacué par un ventilateur dans une armoire \\(\\Phi_c=\\)</t>
  </si>
  <si>
    <t>\\frac{P_{p_{max}}+P_{p_{max}}}{2}</t>
  </si>
  <si>
    <t>2(Lh \\times Lp \\times hp)</t>
  </si>
  <si>
    <t>R_{th} \\Phi</t>
  </si>
  <si>
    <t>Association de résistance en parallèle \\(R_{th_{eq}}=\\)</t>
  </si>
  <si>
    <t>Association de résistance en série \\(R_{th_{eq}}=\\)</t>
  </si>
  <si>
    <t>Association de résistance en parallèle \\(\\frac{1}{R_{th_{eq}}}=\\)</t>
  </si>
  <si>
    <t>\\sqrt{P^2-S^2}</t>
  </si>
  <si>
    <t>Pour un circuit RL série Z=</t>
  </si>
  <si>
    <t>atan(\\frac{-1}{RC\\omega})</t>
  </si>
  <si>
    <t>\\sqrt{3}UI</t>
  </si>
  <si>
    <t>\\sqrt{3}UI\\sin\\varphi</t>
  </si>
  <si>
    <t>\\sqrt{3}UI\\cos\\varphi</t>
  </si>
  <si>
    <t>\\sqrt{3}VI\\cos\\varphi</t>
  </si>
  <si>
    <t>\\sqrt{3}VI\\sin\\varphi</t>
  </si>
  <si>
    <t>V \\sqrt{3}</t>
  </si>
  <si>
    <t>{V}{\\sqrt{2}}</t>
  </si>
  <si>
    <t>Déphasage entre \\(u_{12}\\) et \\(u_{23}\\) ?</t>
  </si>
  <si>
    <t>Déphasage entre \\(v_{1}\\) et \\(v_{2}\\) ?</t>
  </si>
  <si>
    <t>Déphasage entre \\(u_{12}\\) et \\(v_1\\) ?</t>
  </si>
  <si>
    <t>atan({-RC\\omega})</t>
  </si>
  <si>
    <t>atan(\\frac{-C\\omega}{R})</t>
  </si>
  <si>
    <t>atan(\\frac{-C}{R})</t>
  </si>
  <si>
    <t>Faut\\:mesurer!</t>
  </si>
  <si>
    <t>acos F_p</t>
  </si>
  <si>
    <t>acos DFP</t>
  </si>
  <si>
    <t>\\frac{\\sqrt{I^2-I_1^2}}{I_1}</t>
  </si>
  <si>
    <t>P_{cc} \\frac{V_{20}}{V_2}</t>
  </si>
  <si>
    <t>\\frac{I_{A}}{I_{a0}}</t>
  </si>
  <si>
    <t>P_{cc} \\frac{V_{A0}}{V_a}</t>
  </si>
  <si>
    <t>Principe fondamental de la dynamique \\(m\\overrightarrow{a}\\)</t>
  </si>
  <si>
    <t>\\Sigma \\overrightarrow{F}</t>
  </si>
  <si>
    <t>Vitesse angulaire \\(\\Omega=\\)</t>
  </si>
  <si>
    <t>Rendement d'un cycle de charge/décharge \\(\\eta=\\)</t>
  </si>
  <si>
    <t>h \\times tan \\alpha</t>
  </si>
  <si>
    <t>h \\times  sin \\alpha</t>
  </si>
  <si>
    <t>h \\times cos \\alpha</t>
  </si>
  <si>
    <t>Rendement d'un panneau PV \\(\\eta=\\)</t>
  </si>
  <si>
    <t>P_e+P_{ji}+P_{pm}+P_u</t>
  </si>
  <si>
    <t>P_e+P_{ji}+P_{pm}</t>
  </si>
  <si>
    <t>P_e+P_{ji}+P_{pm}+P_u+P_i</t>
  </si>
  <si>
    <t>Principe fondamental de la dynamique \\(J \\frac{d \\Omega }{dt}=\\)</t>
  </si>
  <si>
    <t>glissement \\(g=\\)</t>
  </si>
  <si>
    <t>C_u-C_{em}</t>
  </si>
  <si>
    <t>\\frac{\\Delta s}{\\Delta m}</t>
  </si>
  <si>
    <t>X_c-X_{s \\infty}</t>
  </si>
  <si>
    <t>\\frac{X_c-X_{s \\infty}}{X_c}</t>
  </si>
  <si>
    <t>\\frac{X_c-X_{s \\infty}}{X_{s \\infty}}</t>
  </si>
  <si>
    <t>\\frac{X_{s \\infty}-X_c}{X_c}</t>
  </si>
  <si>
    <t>\\frac{X_{s max}-X_{s \\infty}}{X_{s \\infty}}</t>
  </si>
  <si>
    <t>\\frac{X_{s max}-X_{s \\infty}}{X_{c}}</t>
  </si>
  <si>
    <t>Erreur relative \\(\\epsilon_{\\%}=\\)</t>
  </si>
  <si>
    <t>\\frac{X_{s max}-X_{c}}{X_{s \\infty}}</t>
  </si>
  <si>
    <t>Loi d'Ohm \\(U=\\)</t>
  </si>
  <si>
    <t>1Ah</t>
  </si>
  <si>
    <t>Rendement</t>
  </si>
  <si>
    <t>\\%</t>
  </si>
  <si>
    <t>sans~unité</t>
  </si>
  <si>
    <t>J</t>
  </si>
  <si>
    <t>Energie absorbée</t>
  </si>
  <si>
    <t>A</t>
  </si>
  <si>
    <t>W/h</t>
  </si>
  <si>
    <t>Energie utile</t>
  </si>
  <si>
    <t>Energie perdue</t>
  </si>
  <si>
    <t>Puissance absorbée</t>
  </si>
  <si>
    <t>Puissance utile</t>
  </si>
  <si>
    <t>Puissance perdue</t>
  </si>
  <si>
    <t>Wh</t>
  </si>
  <si>
    <t>Facteur de charge</t>
  </si>
  <si>
    <t>Flux thermique</t>
  </si>
  <si>
    <t>°</t>
  </si>
  <si>
    <t>Résistance thermique</t>
  </si>
  <si>
    <t>K/W</t>
  </si>
  <si>
    <t>W/K</t>
  </si>
  <si>
    <t>\\Omega</t>
  </si>
  <si>
    <t>Température</t>
  </si>
  <si>
    <t>K</t>
  </si>
  <si>
    <t>°C</t>
  </si>
  <si>
    <t>s</t>
  </si>
  <si>
    <t>Energie thermique</t>
  </si>
  <si>
    <t>Débit massique</t>
  </si>
  <si>
    <t>kg/s</t>
  </si>
  <si>
    <t>kg/h</t>
  </si>
  <si>
    <t>m^2/s</t>
  </si>
  <si>
    <t>m^3/s</t>
  </si>
  <si>
    <t>Débit volumique</t>
  </si>
  <si>
    <t>m^3/h</t>
  </si>
  <si>
    <t>Puissance thermique</t>
  </si>
  <si>
    <t>Courant électrique</t>
  </si>
  <si>
    <t>Tension électrique</t>
  </si>
  <si>
    <t>Charge électrque</t>
  </si>
  <si>
    <t>Ah</t>
  </si>
  <si>
    <t>Puissance électrique</t>
  </si>
  <si>
    <t>Energie électrique</t>
  </si>
  <si>
    <t>Résistance</t>
  </si>
  <si>
    <t>H</t>
  </si>
  <si>
    <t>Durée</t>
  </si>
  <si>
    <t>h</t>
  </si>
  <si>
    <t>min</t>
  </si>
  <si>
    <t>Force électromotrice</t>
  </si>
  <si>
    <t>N</t>
  </si>
  <si>
    <t>Nm</t>
  </si>
  <si>
    <t>Hz</t>
  </si>
  <si>
    <t>Fréquence</t>
  </si>
  <si>
    <t>Pulsation</t>
  </si>
  <si>
    <t>rad/s</t>
  </si>
  <si>
    <t>rad</t>
  </si>
  <si>
    <t>Période</t>
  </si>
  <si>
    <t>Déphasage</t>
  </si>
  <si>
    <t>Inductance</t>
  </si>
  <si>
    <t>Capacité</t>
  </si>
  <si>
    <t>Puissance active</t>
  </si>
  <si>
    <t>var</t>
  </si>
  <si>
    <t>VA</t>
  </si>
  <si>
    <t>vad</t>
  </si>
  <si>
    <t>Puissance réactive</t>
  </si>
  <si>
    <t>Puissance apparente</t>
  </si>
  <si>
    <t xml:space="preserve">Taux de distorsion harmonique </t>
  </si>
  <si>
    <t>Puissance déformante</t>
  </si>
  <si>
    <t>Facteur de puissance</t>
  </si>
  <si>
    <t>Déplacement du facteur de puissance</t>
  </si>
  <si>
    <t>Rapport de transformation</t>
  </si>
  <si>
    <t>Pertes joules</t>
  </si>
  <si>
    <t>Pertes ferromagnétiques</t>
  </si>
  <si>
    <t>Impédance</t>
  </si>
  <si>
    <t>Réactance</t>
  </si>
  <si>
    <t>Masse</t>
  </si>
  <si>
    <t>kg</t>
  </si>
  <si>
    <t>Moment d'intertie</t>
  </si>
  <si>
    <t>kg \\cdot m^2</t>
  </si>
  <si>
    <t>kg /m^2</t>
  </si>
  <si>
    <t>Masse volumique</t>
  </si>
  <si>
    <t>kg \\cdot m^3</t>
  </si>
  <si>
    <t>kg \\cdot m^{-3}</t>
  </si>
  <si>
    <t>kg \\cdot m^{-2}</t>
  </si>
  <si>
    <t>Force</t>
  </si>
  <si>
    <t>Pa</t>
  </si>
  <si>
    <t>Couple</t>
  </si>
  <si>
    <t>Accélération</t>
  </si>
  <si>
    <t>m \\cdot s^{-2}</t>
  </si>
  <si>
    <t>m \\cdot s^{-1}</t>
  </si>
  <si>
    <t>m/s</t>
  </si>
  <si>
    <t>Accélération angulaire</t>
  </si>
  <si>
    <t>rad \\cdot s^{-2}</t>
  </si>
  <si>
    <t>Vitesse</t>
  </si>
  <si>
    <t>km/h</t>
  </si>
  <si>
    <t>Vitesse angulaire</t>
  </si>
  <si>
    <t>rad \\cdot s^{-1}</t>
  </si>
  <si>
    <t>Position</t>
  </si>
  <si>
    <t>Position angulaire</t>
  </si>
  <si>
    <t>Energie cinétique</t>
  </si>
  <si>
    <t>Energie potentielle</t>
  </si>
  <si>
    <t>Travail d'une force</t>
  </si>
  <si>
    <t>Puissance mécanique</t>
  </si>
  <si>
    <t>Poids</t>
  </si>
  <si>
    <t>Pression</t>
  </si>
  <si>
    <t>bar</t>
  </si>
  <si>
    <t>Surface</t>
  </si>
  <si>
    <t>m^2</t>
  </si>
  <si>
    <t>m^3</t>
  </si>
  <si>
    <t>m^4</t>
  </si>
  <si>
    <t>Volume</t>
  </si>
  <si>
    <t>Hauteur</t>
  </si>
  <si>
    <t>Diamètre</t>
  </si>
  <si>
    <t>Rayon</t>
  </si>
  <si>
    <t>\\pi</t>
  </si>
  <si>
    <t>Profondeur de décharge</t>
  </si>
  <si>
    <t>Etat de charge</t>
  </si>
  <si>
    <t>Capacité d'une batterie</t>
  </si>
  <si>
    <t>A/h</t>
  </si>
  <si>
    <t>Tension nominale</t>
  </si>
  <si>
    <t>Courant nominal</t>
  </si>
  <si>
    <t>Longueur d'onde</t>
  </si>
  <si>
    <t>Température de couleur</t>
  </si>
  <si>
    <t xml:space="preserve">° </t>
  </si>
  <si>
    <t>Intensité lumineuse</t>
  </si>
  <si>
    <t>Cd</t>
  </si>
  <si>
    <t>Lm</t>
  </si>
  <si>
    <t>lux</t>
  </si>
  <si>
    <t>Indice de rendu des couleurs</t>
  </si>
  <si>
    <t>Flux lumineux</t>
  </si>
  <si>
    <t>W/m^2</t>
  </si>
  <si>
    <t>Efficacité lumineuse</t>
  </si>
  <si>
    <t>Lm/W</t>
  </si>
  <si>
    <t>W/Lm</t>
  </si>
  <si>
    <t>Eclairement</t>
  </si>
  <si>
    <t>Cd/m^2</t>
  </si>
  <si>
    <t>Uniformité</t>
  </si>
  <si>
    <t>Luminance</t>
  </si>
  <si>
    <t>Irradiance</t>
  </si>
  <si>
    <t>Puissance électromagnétique</t>
  </si>
  <si>
    <t>A/m</t>
  </si>
  <si>
    <t>Champ magnétique</t>
  </si>
  <si>
    <t>Glissement</t>
  </si>
  <si>
    <t>tr/min</t>
  </si>
  <si>
    <t>rad \\cdot s</t>
  </si>
  <si>
    <t>Couple 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</si>
</sst>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Omega" TargetMode="External"/><Relationship Id="rId3" Type="http://schemas.openxmlformats.org/officeDocument/2006/relationships/hyperlink" Target="file:///\\Omega" TargetMode="External"/><Relationship Id="rId7" Type="http://schemas.openxmlformats.org/officeDocument/2006/relationships/hyperlink" Target="file:///\\Omega" TargetMode="External"/><Relationship Id="rId2" Type="http://schemas.openxmlformats.org/officeDocument/2006/relationships/hyperlink" Target="file:///\\Omega" TargetMode="External"/><Relationship Id="rId1" Type="http://schemas.openxmlformats.org/officeDocument/2006/relationships/hyperlink" Target="file:///\\Omega" TargetMode="External"/><Relationship Id="rId6" Type="http://schemas.openxmlformats.org/officeDocument/2006/relationships/hyperlink" Target="file:///\\Omega" TargetMode="External"/><Relationship Id="rId11" Type="http://schemas.openxmlformats.org/officeDocument/2006/relationships/hyperlink" Target="file:///\\Omega" TargetMode="External"/><Relationship Id="rId5" Type="http://schemas.openxmlformats.org/officeDocument/2006/relationships/hyperlink" Target="file:///\\Omega" TargetMode="External"/><Relationship Id="rId10" Type="http://schemas.openxmlformats.org/officeDocument/2006/relationships/hyperlink" Target="file:///\\pi" TargetMode="External"/><Relationship Id="rId4" Type="http://schemas.openxmlformats.org/officeDocument/2006/relationships/hyperlink" Target="file:///\\Omega" TargetMode="External"/><Relationship Id="rId9" Type="http://schemas.openxmlformats.org/officeDocument/2006/relationships/hyperlink" Target="file:///\\p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atan(\frac%7bL\omega%7d%7bCR%7d)" TargetMode="External"/><Relationship Id="rId3" Type="http://schemas.openxmlformats.org/officeDocument/2006/relationships/hyperlink" Target="file:///\\atan(\frac%7bL%7d%7bR%7d)" TargetMode="External"/><Relationship Id="rId7" Type="http://schemas.openxmlformats.org/officeDocument/2006/relationships/hyperlink" Target="file:///\\atan(\frac%7bL\omega-\frac%7b1%7d%7bC\omega%7d%7d%7bR%7d)" TargetMode="External"/><Relationship Id="rId12" Type="http://schemas.openxmlformats.org/officeDocument/2006/relationships/hyperlink" Target="file:///\\atan(\frac%7bR%7d%7bL\omega%7d)" TargetMode="External"/><Relationship Id="rId2" Type="http://schemas.openxmlformats.org/officeDocument/2006/relationships/hyperlink" Target="file:///\\atan(\frac%7bR%7d%7bL\omega%7d)" TargetMode="External"/><Relationship Id="rId1" Type="http://schemas.openxmlformats.org/officeDocument/2006/relationships/hyperlink" Target="file:///\\atan(\frac%7bL\omega%7d%7bR%7d)" TargetMode="External"/><Relationship Id="rId6" Type="http://schemas.openxmlformats.org/officeDocument/2006/relationships/hyperlink" Target="file:///\\atan(\frac%7bC\omega%7d%7bR%7d)" TargetMode="External"/><Relationship Id="rId11" Type="http://schemas.openxmlformats.org/officeDocument/2006/relationships/hyperlink" Target="file:///\\atan(\frac%7bR%7d%7bL\omega%7d)" TargetMode="External"/><Relationship Id="rId5" Type="http://schemas.openxmlformats.org/officeDocument/2006/relationships/hyperlink" Target="file:///\\atan(\frac%7bC%7d%7bR%7d)" TargetMode="External"/><Relationship Id="rId10" Type="http://schemas.openxmlformats.org/officeDocument/2006/relationships/hyperlink" Target="file:///\\atan(\frac%7bR%7d%7bL\omega%7d)" TargetMode="External"/><Relationship Id="rId4" Type="http://schemas.openxmlformats.org/officeDocument/2006/relationships/hyperlink" Target="file:///\\atan(\frac%7b1%7d%7bRC\omega%7d)" TargetMode="External"/><Relationship Id="rId9" Type="http://schemas.openxmlformats.org/officeDocument/2006/relationships/hyperlink" Target="file:///\\atan(\frac%7bL+C%7d%7bR%7d)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Phi_c-\Phi_T" TargetMode="External"/><Relationship Id="rId2" Type="http://schemas.openxmlformats.org/officeDocument/2006/relationships/hyperlink" Target="file:///\\Phi_T+\Phi_c" TargetMode="External"/><Relationship Id="rId1" Type="http://schemas.openxmlformats.org/officeDocument/2006/relationships/hyperlink" Target="file:///\\Phi_T-\Phi_c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file:///\\atan(\frac%7bL\omega%7d%7bCR%7d)" TargetMode="External"/><Relationship Id="rId3" Type="http://schemas.openxmlformats.org/officeDocument/2006/relationships/hyperlink" Target="file:///\\atan(\frac%7bL%7d%7bR%7d)" TargetMode="External"/><Relationship Id="rId7" Type="http://schemas.openxmlformats.org/officeDocument/2006/relationships/hyperlink" Target="file:///\\atan(\frac%7bL\omega-\frac%7b1%7d%7bC\omega%7d%7d%7bR%7d)" TargetMode="External"/><Relationship Id="rId12" Type="http://schemas.openxmlformats.org/officeDocument/2006/relationships/hyperlink" Target="file:///\\atan(\frac%7bR%7d%7bL\omega%7d)" TargetMode="External"/><Relationship Id="rId2" Type="http://schemas.openxmlformats.org/officeDocument/2006/relationships/hyperlink" Target="file:///\\atan(\frac%7bR%7d%7bL\omega%7d)" TargetMode="External"/><Relationship Id="rId1" Type="http://schemas.openxmlformats.org/officeDocument/2006/relationships/hyperlink" Target="file:///\\atan(\frac%7bL\omega%7d%7bR%7d)" TargetMode="External"/><Relationship Id="rId6" Type="http://schemas.openxmlformats.org/officeDocument/2006/relationships/hyperlink" Target="file:///\\atan(\frac%7bC\omega%7d%7bR%7d)" TargetMode="External"/><Relationship Id="rId11" Type="http://schemas.openxmlformats.org/officeDocument/2006/relationships/hyperlink" Target="file:///\\atan(\frac%7bR%7d%7bL\omega%7d)" TargetMode="External"/><Relationship Id="rId5" Type="http://schemas.openxmlformats.org/officeDocument/2006/relationships/hyperlink" Target="file:///\\atan(\frac%7bC%7d%7bR%7d)" TargetMode="External"/><Relationship Id="rId10" Type="http://schemas.openxmlformats.org/officeDocument/2006/relationships/hyperlink" Target="file:///\\atan(\frac%7bR%7d%7bL\omega%7d)" TargetMode="External"/><Relationship Id="rId4" Type="http://schemas.openxmlformats.org/officeDocument/2006/relationships/hyperlink" Target="file:///\\atan(\frac%7b1%7d%7bRC\omega%7d)" TargetMode="External"/><Relationship Id="rId9" Type="http://schemas.openxmlformats.org/officeDocument/2006/relationships/hyperlink" Target="file:///\\atan(\frac%7bL+C%7d%7bR%7d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file:///\\varphi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file:///\\(v(m\s)\)=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file:///\\(\Omega(rad\s)\)=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file:///\\omega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file:///\\Phi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file:///\\frac'\Delta%20s%7d%7b\Delta%20m%7d" TargetMode="External"/><Relationship Id="rId1" Type="http://schemas.openxmlformats.org/officeDocument/2006/relationships/hyperlink" Target="file:///\\frac'\Delta%20s%7d%7b\Delta%20m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93D0-CDF3-4BC4-B48B-8587E00099B5}">
  <sheetPr filterMode="1"/>
  <dimension ref="A1:H87"/>
  <sheetViews>
    <sheetView tabSelected="1" workbookViewId="0">
      <selection activeCell="E84" sqref="A1:E84"/>
    </sheetView>
  </sheetViews>
  <sheetFormatPr baseColWidth="10" defaultRowHeight="14.4" x14ac:dyDescent="0.3"/>
  <cols>
    <col min="1" max="1" width="18.5546875" bestFit="1" customWidth="1"/>
  </cols>
  <sheetData>
    <row r="1" spans="1:8" x14ac:dyDescent="0.3">
      <c r="A1" t="s">
        <v>890</v>
      </c>
      <c r="B1" t="s">
        <v>892</v>
      </c>
      <c r="C1" t="s">
        <v>891</v>
      </c>
      <c r="D1" t="s">
        <v>640</v>
      </c>
      <c r="E1" t="s">
        <v>893</v>
      </c>
      <c r="F1">
        <v>1</v>
      </c>
      <c r="H1">
        <f>COUNTIF(F1:F2000,1)</f>
        <v>48</v>
      </c>
    </row>
    <row r="2" spans="1:8" hidden="1" x14ac:dyDescent="0.3">
      <c r="A2" t="s">
        <v>894</v>
      </c>
      <c r="B2" t="s">
        <v>893</v>
      </c>
      <c r="C2" t="s">
        <v>640</v>
      </c>
      <c r="D2" t="s">
        <v>902</v>
      </c>
      <c r="E2" t="s">
        <v>896</v>
      </c>
      <c r="F2">
        <v>1</v>
      </c>
      <c r="H2">
        <f>COUNTIF(F1:F4000,2)</f>
        <v>39</v>
      </c>
    </row>
    <row r="3" spans="1:8" hidden="1" x14ac:dyDescent="0.3">
      <c r="A3" t="s">
        <v>897</v>
      </c>
      <c r="B3" t="s">
        <v>893</v>
      </c>
      <c r="C3" t="s">
        <v>640</v>
      </c>
      <c r="D3" t="s">
        <v>902</v>
      </c>
      <c r="E3" t="s">
        <v>896</v>
      </c>
      <c r="F3">
        <v>1</v>
      </c>
    </row>
    <row r="4" spans="1:8" hidden="1" x14ac:dyDescent="0.3">
      <c r="A4" t="s">
        <v>898</v>
      </c>
      <c r="B4" t="s">
        <v>893</v>
      </c>
      <c r="C4" t="s">
        <v>640</v>
      </c>
      <c r="D4" t="s">
        <v>902</v>
      </c>
      <c r="E4" t="s">
        <v>896</v>
      </c>
      <c r="F4">
        <v>1</v>
      </c>
    </row>
    <row r="5" spans="1:8" hidden="1" x14ac:dyDescent="0.3">
      <c r="A5" t="s">
        <v>899</v>
      </c>
      <c r="B5" t="s">
        <v>640</v>
      </c>
      <c r="C5" t="s">
        <v>893</v>
      </c>
      <c r="D5" t="s">
        <v>902</v>
      </c>
      <c r="E5" t="s">
        <v>896</v>
      </c>
      <c r="F5">
        <v>1</v>
      </c>
    </row>
    <row r="6" spans="1:8" hidden="1" x14ac:dyDescent="0.3">
      <c r="A6" t="s">
        <v>900</v>
      </c>
      <c r="B6" t="s">
        <v>640</v>
      </c>
      <c r="C6" t="s">
        <v>893</v>
      </c>
      <c r="D6" t="s">
        <v>902</v>
      </c>
      <c r="E6" t="s">
        <v>896</v>
      </c>
      <c r="F6">
        <v>1</v>
      </c>
    </row>
    <row r="7" spans="1:8" hidden="1" x14ac:dyDescent="0.3">
      <c r="A7" t="s">
        <v>901</v>
      </c>
      <c r="B7" t="s">
        <v>640</v>
      </c>
      <c r="C7" t="s">
        <v>893</v>
      </c>
      <c r="D7" t="s">
        <v>902</v>
      </c>
      <c r="E7" t="s">
        <v>896</v>
      </c>
      <c r="F7">
        <v>1</v>
      </c>
    </row>
    <row r="8" spans="1:8" hidden="1" x14ac:dyDescent="0.3">
      <c r="A8" t="s">
        <v>903</v>
      </c>
      <c r="B8" t="s">
        <v>892</v>
      </c>
      <c r="C8" t="s">
        <v>891</v>
      </c>
      <c r="D8" t="s">
        <v>640</v>
      </c>
      <c r="E8" t="s">
        <v>893</v>
      </c>
      <c r="F8">
        <v>1</v>
      </c>
    </row>
    <row r="9" spans="1:8" x14ac:dyDescent="0.3">
      <c r="A9" t="s">
        <v>904</v>
      </c>
      <c r="B9" t="s">
        <v>640</v>
      </c>
      <c r="C9" t="s">
        <v>893</v>
      </c>
      <c r="D9" t="s">
        <v>895</v>
      </c>
      <c r="E9" t="s">
        <v>905</v>
      </c>
      <c r="F9">
        <v>2</v>
      </c>
    </row>
    <row r="10" spans="1:8" x14ac:dyDescent="0.3">
      <c r="A10" t="s">
        <v>906</v>
      </c>
      <c r="B10" t="s">
        <v>907</v>
      </c>
      <c r="C10" t="s">
        <v>908</v>
      </c>
      <c r="D10" s="1" t="s">
        <v>909</v>
      </c>
      <c r="E10" t="s">
        <v>896</v>
      </c>
      <c r="F10">
        <v>2</v>
      </c>
    </row>
    <row r="11" spans="1:8" hidden="1" x14ac:dyDescent="0.3">
      <c r="A11" t="s">
        <v>910</v>
      </c>
      <c r="B11" t="s">
        <v>911</v>
      </c>
      <c r="C11" t="s">
        <v>905</v>
      </c>
      <c r="D11" t="s">
        <v>515</v>
      </c>
      <c r="E11" t="s">
        <v>913</v>
      </c>
      <c r="F11">
        <v>1</v>
      </c>
    </row>
    <row r="12" spans="1:8" x14ac:dyDescent="0.3">
      <c r="A12" t="s">
        <v>914</v>
      </c>
      <c r="B12" t="s">
        <v>893</v>
      </c>
      <c r="C12" t="s">
        <v>902</v>
      </c>
      <c r="D12" t="s">
        <v>911</v>
      </c>
      <c r="E12" t="s">
        <v>912</v>
      </c>
      <c r="F12">
        <v>2</v>
      </c>
    </row>
    <row r="13" spans="1:8" x14ac:dyDescent="0.3">
      <c r="A13" t="s">
        <v>915</v>
      </c>
      <c r="B13" t="s">
        <v>916</v>
      </c>
      <c r="C13" t="s">
        <v>917</v>
      </c>
      <c r="D13" t="s">
        <v>918</v>
      </c>
      <c r="E13" t="s">
        <v>919</v>
      </c>
      <c r="F13">
        <v>2</v>
      </c>
    </row>
    <row r="14" spans="1:8" x14ac:dyDescent="0.3">
      <c r="A14" t="s">
        <v>920</v>
      </c>
      <c r="B14" t="s">
        <v>919</v>
      </c>
      <c r="C14" t="s">
        <v>921</v>
      </c>
      <c r="D14" t="s">
        <v>916</v>
      </c>
      <c r="E14" t="s">
        <v>918</v>
      </c>
      <c r="F14">
        <v>2</v>
      </c>
    </row>
    <row r="15" spans="1:8" x14ac:dyDescent="0.3">
      <c r="A15" t="s">
        <v>922</v>
      </c>
      <c r="B15" t="s">
        <v>640</v>
      </c>
      <c r="C15" t="s">
        <v>893</v>
      </c>
      <c r="D15" t="s">
        <v>902</v>
      </c>
      <c r="E15" t="s">
        <v>896</v>
      </c>
      <c r="F15">
        <v>2</v>
      </c>
    </row>
    <row r="16" spans="1:8" hidden="1" x14ac:dyDescent="0.3">
      <c r="A16" t="s">
        <v>923</v>
      </c>
      <c r="B16" t="s">
        <v>895</v>
      </c>
      <c r="C16" t="s">
        <v>73</v>
      </c>
      <c r="D16" t="s">
        <v>640</v>
      </c>
      <c r="E16" t="s">
        <v>629</v>
      </c>
      <c r="F16">
        <v>1</v>
      </c>
    </row>
    <row r="17" spans="1:6" hidden="1" x14ac:dyDescent="0.3">
      <c r="A17" t="s">
        <v>924</v>
      </c>
      <c r="B17" t="s">
        <v>629</v>
      </c>
      <c r="C17" t="s">
        <v>895</v>
      </c>
      <c r="D17" t="s">
        <v>73</v>
      </c>
      <c r="E17" t="s">
        <v>640</v>
      </c>
      <c r="F17">
        <v>1</v>
      </c>
    </row>
    <row r="18" spans="1:6" hidden="1" x14ac:dyDescent="0.3">
      <c r="A18" t="s">
        <v>925</v>
      </c>
      <c r="B18" t="s">
        <v>73</v>
      </c>
      <c r="C18" t="s">
        <v>926</v>
      </c>
      <c r="D18" t="s">
        <v>629</v>
      </c>
      <c r="E18" t="s">
        <v>895</v>
      </c>
      <c r="F18">
        <v>1</v>
      </c>
    </row>
    <row r="19" spans="1:6" hidden="1" x14ac:dyDescent="0.3">
      <c r="A19" t="s">
        <v>927</v>
      </c>
      <c r="B19" t="s">
        <v>640</v>
      </c>
      <c r="C19" t="s">
        <v>893</v>
      </c>
      <c r="D19" t="s">
        <v>902</v>
      </c>
      <c r="E19" t="s">
        <v>896</v>
      </c>
      <c r="F19">
        <v>1</v>
      </c>
    </row>
    <row r="20" spans="1:6" hidden="1" x14ac:dyDescent="0.3">
      <c r="A20" t="s">
        <v>928</v>
      </c>
      <c r="B20" t="s">
        <v>893</v>
      </c>
      <c r="C20" t="s">
        <v>640</v>
      </c>
      <c r="D20" t="s">
        <v>902</v>
      </c>
      <c r="E20" t="s">
        <v>896</v>
      </c>
      <c r="F20">
        <v>1</v>
      </c>
    </row>
    <row r="21" spans="1:6" hidden="1" x14ac:dyDescent="0.3">
      <c r="A21" t="s">
        <v>929</v>
      </c>
      <c r="B21" s="1" t="s">
        <v>909</v>
      </c>
      <c r="C21" t="s">
        <v>517</v>
      </c>
      <c r="D21" t="s">
        <v>930</v>
      </c>
      <c r="E21" t="s">
        <v>907</v>
      </c>
      <c r="F21">
        <v>1</v>
      </c>
    </row>
    <row r="22" spans="1:6" hidden="1" x14ac:dyDescent="0.3">
      <c r="A22" t="s">
        <v>931</v>
      </c>
      <c r="B22" t="s">
        <v>913</v>
      </c>
      <c r="C22" t="s">
        <v>932</v>
      </c>
      <c r="D22" t="s">
        <v>933</v>
      </c>
      <c r="E22" t="s">
        <v>515</v>
      </c>
      <c r="F22">
        <v>1</v>
      </c>
    </row>
    <row r="23" spans="1:6" hidden="1" x14ac:dyDescent="0.3">
      <c r="A23" t="s">
        <v>934</v>
      </c>
      <c r="B23" t="s">
        <v>629</v>
      </c>
      <c r="C23" t="s">
        <v>935</v>
      </c>
      <c r="D23" t="s">
        <v>936</v>
      </c>
      <c r="E23" t="s">
        <v>895</v>
      </c>
      <c r="F23">
        <v>1</v>
      </c>
    </row>
    <row r="24" spans="1:6" hidden="1" x14ac:dyDescent="0.3">
      <c r="A24" t="s">
        <v>938</v>
      </c>
      <c r="B24" t="s">
        <v>937</v>
      </c>
      <c r="C24" t="s">
        <v>913</v>
      </c>
      <c r="D24" t="s">
        <v>515</v>
      </c>
      <c r="E24" t="s">
        <v>629</v>
      </c>
      <c r="F24">
        <v>1</v>
      </c>
    </row>
    <row r="25" spans="1:6" hidden="1" x14ac:dyDescent="0.3">
      <c r="A25" t="s">
        <v>939</v>
      </c>
      <c r="B25" t="s">
        <v>940</v>
      </c>
      <c r="C25" t="s">
        <v>941</v>
      </c>
      <c r="D25" t="s">
        <v>913</v>
      </c>
      <c r="E25" t="s">
        <v>937</v>
      </c>
      <c r="F25">
        <v>1</v>
      </c>
    </row>
    <row r="26" spans="1:6" hidden="1" x14ac:dyDescent="0.3">
      <c r="A26" t="s">
        <v>942</v>
      </c>
      <c r="B26" t="s">
        <v>913</v>
      </c>
      <c r="C26" t="s">
        <v>932</v>
      </c>
      <c r="D26" t="s">
        <v>941</v>
      </c>
      <c r="E26" t="s">
        <v>515</v>
      </c>
      <c r="F26">
        <v>1</v>
      </c>
    </row>
    <row r="27" spans="1:6" hidden="1" x14ac:dyDescent="0.3">
      <c r="A27" t="s">
        <v>943</v>
      </c>
      <c r="B27" t="s">
        <v>905</v>
      </c>
      <c r="C27" t="s">
        <v>912</v>
      </c>
      <c r="D27" t="s">
        <v>913</v>
      </c>
      <c r="E27" t="s">
        <v>940</v>
      </c>
      <c r="F27">
        <v>1</v>
      </c>
    </row>
    <row r="28" spans="1:6" hidden="1" x14ac:dyDescent="0.3">
      <c r="A28" t="s">
        <v>944</v>
      </c>
      <c r="B28" t="s">
        <v>930</v>
      </c>
      <c r="C28" t="s">
        <v>517</v>
      </c>
      <c r="D28" s="1" t="s">
        <v>909</v>
      </c>
      <c r="E28" t="s">
        <v>937</v>
      </c>
      <c r="F28">
        <v>1</v>
      </c>
    </row>
    <row r="29" spans="1:6" hidden="1" x14ac:dyDescent="0.3">
      <c r="A29" t="s">
        <v>945</v>
      </c>
      <c r="B29" t="s">
        <v>517</v>
      </c>
      <c r="C29" t="s">
        <v>930</v>
      </c>
      <c r="D29" s="1" t="s">
        <v>909</v>
      </c>
      <c r="E29" t="s">
        <v>937</v>
      </c>
      <c r="F29">
        <v>1</v>
      </c>
    </row>
    <row r="30" spans="1:6" hidden="1" x14ac:dyDescent="0.3">
      <c r="A30" t="s">
        <v>946</v>
      </c>
      <c r="B30" t="s">
        <v>640</v>
      </c>
      <c r="C30" t="s">
        <v>947</v>
      </c>
      <c r="D30" t="s">
        <v>948</v>
      </c>
      <c r="E30" t="s">
        <v>893</v>
      </c>
      <c r="F30">
        <v>1</v>
      </c>
    </row>
    <row r="31" spans="1:6" hidden="1" x14ac:dyDescent="0.3">
      <c r="A31" t="s">
        <v>950</v>
      </c>
      <c r="B31" s="1" t="s">
        <v>947</v>
      </c>
      <c r="C31" s="1" t="s">
        <v>640</v>
      </c>
      <c r="D31" t="s">
        <v>948</v>
      </c>
      <c r="E31" s="1" t="s">
        <v>893</v>
      </c>
      <c r="F31">
        <v>1</v>
      </c>
    </row>
    <row r="32" spans="1:6" hidden="1" x14ac:dyDescent="0.3">
      <c r="A32" t="s">
        <v>951</v>
      </c>
      <c r="B32" t="s">
        <v>948</v>
      </c>
      <c r="C32" t="s">
        <v>947</v>
      </c>
      <c r="D32" t="s">
        <v>640</v>
      </c>
      <c r="E32" t="s">
        <v>902</v>
      </c>
      <c r="F32">
        <v>1</v>
      </c>
    </row>
    <row r="33" spans="1:6" hidden="1" x14ac:dyDescent="0.3">
      <c r="A33" t="s">
        <v>954</v>
      </c>
      <c r="B33" t="s">
        <v>892</v>
      </c>
      <c r="C33" t="s">
        <v>891</v>
      </c>
      <c r="D33" t="s">
        <v>640</v>
      </c>
      <c r="E33" t="s">
        <v>902</v>
      </c>
      <c r="F33">
        <v>1</v>
      </c>
    </row>
    <row r="34" spans="1:6" hidden="1" x14ac:dyDescent="0.3">
      <c r="A34" t="s">
        <v>928</v>
      </c>
      <c r="B34" t="s">
        <v>893</v>
      </c>
      <c r="C34" t="s">
        <v>902</v>
      </c>
      <c r="D34" t="s">
        <v>629</v>
      </c>
      <c r="E34" t="s">
        <v>895</v>
      </c>
      <c r="F34">
        <v>1</v>
      </c>
    </row>
    <row r="35" spans="1:6" x14ac:dyDescent="0.3">
      <c r="A35" t="s">
        <v>952</v>
      </c>
      <c r="B35" t="s">
        <v>892</v>
      </c>
      <c r="C35" t="s">
        <v>891</v>
      </c>
      <c r="D35" t="s">
        <v>629</v>
      </c>
      <c r="E35" t="s">
        <v>895</v>
      </c>
      <c r="F35">
        <v>2</v>
      </c>
    </row>
    <row r="36" spans="1:6" x14ac:dyDescent="0.3">
      <c r="A36" t="s">
        <v>946</v>
      </c>
      <c r="B36" t="s">
        <v>640</v>
      </c>
      <c r="C36" t="s">
        <v>947</v>
      </c>
      <c r="D36" t="s">
        <v>948</v>
      </c>
      <c r="E36" t="s">
        <v>949</v>
      </c>
      <c r="F36">
        <v>2</v>
      </c>
    </row>
    <row r="37" spans="1:6" x14ac:dyDescent="0.3">
      <c r="A37" t="s">
        <v>950</v>
      </c>
      <c r="B37" s="1" t="s">
        <v>947</v>
      </c>
      <c r="C37" s="1" t="s">
        <v>640</v>
      </c>
      <c r="D37" t="s">
        <v>948</v>
      </c>
      <c r="E37" s="1" t="s">
        <v>949</v>
      </c>
      <c r="F37">
        <v>2</v>
      </c>
    </row>
    <row r="38" spans="1:6" x14ac:dyDescent="0.3">
      <c r="A38" t="s">
        <v>951</v>
      </c>
      <c r="B38" t="s">
        <v>948</v>
      </c>
      <c r="C38" t="s">
        <v>947</v>
      </c>
      <c r="D38" t="s">
        <v>640</v>
      </c>
      <c r="E38" t="s">
        <v>949</v>
      </c>
      <c r="F38">
        <v>2</v>
      </c>
    </row>
    <row r="39" spans="1:6" x14ac:dyDescent="0.3">
      <c r="A39" t="s">
        <v>953</v>
      </c>
      <c r="B39" t="s">
        <v>949</v>
      </c>
      <c r="C39" t="s">
        <v>948</v>
      </c>
      <c r="D39" t="s">
        <v>947</v>
      </c>
      <c r="E39" t="s">
        <v>640</v>
      </c>
      <c r="F39">
        <v>2</v>
      </c>
    </row>
    <row r="40" spans="1:6" x14ac:dyDescent="0.3">
      <c r="A40" t="s">
        <v>955</v>
      </c>
      <c r="B40" t="s">
        <v>892</v>
      </c>
      <c r="C40" t="s">
        <v>891</v>
      </c>
      <c r="D40" t="s">
        <v>629</v>
      </c>
      <c r="E40" t="s">
        <v>895</v>
      </c>
      <c r="F40">
        <v>2</v>
      </c>
    </row>
    <row r="41" spans="1:6" hidden="1" x14ac:dyDescent="0.3">
      <c r="A41" t="s">
        <v>956</v>
      </c>
      <c r="B41" t="s">
        <v>892</v>
      </c>
      <c r="C41" t="s">
        <v>891</v>
      </c>
      <c r="D41" t="s">
        <v>629</v>
      </c>
      <c r="E41" t="s">
        <v>895</v>
      </c>
      <c r="F41">
        <v>1</v>
      </c>
    </row>
    <row r="42" spans="1:6" hidden="1" x14ac:dyDescent="0.3">
      <c r="A42" t="s">
        <v>957</v>
      </c>
      <c r="B42" t="s">
        <v>640</v>
      </c>
      <c r="C42" t="s">
        <v>893</v>
      </c>
      <c r="D42" t="s">
        <v>902</v>
      </c>
      <c r="E42" t="s">
        <v>895</v>
      </c>
      <c r="F42">
        <v>1</v>
      </c>
    </row>
    <row r="43" spans="1:6" hidden="1" x14ac:dyDescent="0.3">
      <c r="A43" t="s">
        <v>958</v>
      </c>
      <c r="B43" t="s">
        <v>640</v>
      </c>
      <c r="C43" t="s">
        <v>893</v>
      </c>
      <c r="D43" t="s">
        <v>902</v>
      </c>
      <c r="E43" t="s">
        <v>895</v>
      </c>
      <c r="F43">
        <v>1</v>
      </c>
    </row>
    <row r="44" spans="1:6" hidden="1" x14ac:dyDescent="0.3">
      <c r="A44" t="s">
        <v>959</v>
      </c>
      <c r="B44" s="1" t="s">
        <v>909</v>
      </c>
      <c r="C44" t="s">
        <v>517</v>
      </c>
      <c r="D44" t="s">
        <v>930</v>
      </c>
      <c r="E44" t="s">
        <v>907</v>
      </c>
      <c r="F44">
        <v>1</v>
      </c>
    </row>
    <row r="45" spans="1:6" x14ac:dyDescent="0.3">
      <c r="A45" t="s">
        <v>960</v>
      </c>
      <c r="B45" s="1" t="s">
        <v>909</v>
      </c>
      <c r="C45" t="s">
        <v>517</v>
      </c>
      <c r="D45" t="s">
        <v>930</v>
      </c>
      <c r="E45" t="s">
        <v>907</v>
      </c>
      <c r="F45">
        <v>2</v>
      </c>
    </row>
    <row r="46" spans="1:6" hidden="1" x14ac:dyDescent="0.3">
      <c r="A46" t="s">
        <v>961</v>
      </c>
      <c r="B46" t="s">
        <v>962</v>
      </c>
      <c r="C46" t="s">
        <v>532</v>
      </c>
      <c r="D46" t="s">
        <v>935</v>
      </c>
      <c r="E46" t="s">
        <v>936</v>
      </c>
      <c r="F46">
        <v>1</v>
      </c>
    </row>
    <row r="47" spans="1:6" x14ac:dyDescent="0.3">
      <c r="A47" t="s">
        <v>963</v>
      </c>
      <c r="B47" t="s">
        <v>964</v>
      </c>
      <c r="C47" t="s">
        <v>965</v>
      </c>
      <c r="D47" t="s">
        <v>969</v>
      </c>
      <c r="E47" t="s">
        <v>936</v>
      </c>
      <c r="F47">
        <v>2</v>
      </c>
    </row>
    <row r="48" spans="1:6" x14ac:dyDescent="0.3">
      <c r="A48" t="s">
        <v>966</v>
      </c>
      <c r="B48" t="s">
        <v>968</v>
      </c>
      <c r="C48" t="s">
        <v>965</v>
      </c>
      <c r="D48" t="s">
        <v>962</v>
      </c>
      <c r="E48" t="s">
        <v>967</v>
      </c>
      <c r="F48">
        <v>2</v>
      </c>
    </row>
    <row r="49" spans="1:6" hidden="1" x14ac:dyDescent="0.3">
      <c r="A49" t="s">
        <v>970</v>
      </c>
      <c r="B49" t="s">
        <v>935</v>
      </c>
      <c r="C49" t="s">
        <v>936</v>
      </c>
      <c r="D49" t="s">
        <v>962</v>
      </c>
      <c r="E49" t="s">
        <v>971</v>
      </c>
      <c r="F49">
        <v>1</v>
      </c>
    </row>
    <row r="50" spans="1:6" hidden="1" x14ac:dyDescent="0.3">
      <c r="A50" t="s">
        <v>972</v>
      </c>
      <c r="B50" t="s">
        <v>936</v>
      </c>
      <c r="C50" t="s">
        <v>935</v>
      </c>
      <c r="D50" t="s">
        <v>962</v>
      </c>
      <c r="E50" t="s">
        <v>971</v>
      </c>
      <c r="F50">
        <v>1</v>
      </c>
    </row>
    <row r="51" spans="1:6" x14ac:dyDescent="0.3">
      <c r="A51" t="s">
        <v>973</v>
      </c>
      <c r="B51" t="s">
        <v>974</v>
      </c>
      <c r="C51" t="s">
        <v>975</v>
      </c>
      <c r="D51" t="s">
        <v>976</v>
      </c>
      <c r="E51" t="s">
        <v>940</v>
      </c>
      <c r="F51">
        <v>2</v>
      </c>
    </row>
    <row r="52" spans="1:6" x14ac:dyDescent="0.3">
      <c r="A52" t="s">
        <v>977</v>
      </c>
      <c r="B52" t="s">
        <v>978</v>
      </c>
      <c r="C52" t="s">
        <v>974</v>
      </c>
      <c r="D52" t="s">
        <v>976</v>
      </c>
      <c r="E52" t="s">
        <v>940</v>
      </c>
      <c r="F52">
        <v>2</v>
      </c>
    </row>
    <row r="53" spans="1:6" x14ac:dyDescent="0.3">
      <c r="A53" t="s">
        <v>979</v>
      </c>
      <c r="B53" t="s">
        <v>975</v>
      </c>
      <c r="C53" t="s">
        <v>974</v>
      </c>
      <c r="D53" t="s">
        <v>980</v>
      </c>
      <c r="E53" t="s">
        <v>940</v>
      </c>
      <c r="F53">
        <v>2</v>
      </c>
    </row>
    <row r="54" spans="1:6" x14ac:dyDescent="0.3">
      <c r="A54" t="s">
        <v>981</v>
      </c>
      <c r="B54" t="s">
        <v>982</v>
      </c>
      <c r="C54" t="s">
        <v>974</v>
      </c>
      <c r="D54" t="s">
        <v>976</v>
      </c>
      <c r="E54" t="s">
        <v>978</v>
      </c>
      <c r="F54">
        <v>2</v>
      </c>
    </row>
    <row r="55" spans="1:6" x14ac:dyDescent="0.3">
      <c r="A55" t="s">
        <v>983</v>
      </c>
      <c r="B55" t="s">
        <v>515</v>
      </c>
      <c r="C55" t="s">
        <v>941</v>
      </c>
      <c r="D55" s="1" t="s">
        <v>909</v>
      </c>
      <c r="E55" t="s">
        <v>892</v>
      </c>
      <c r="F55">
        <v>2</v>
      </c>
    </row>
    <row r="56" spans="1:6" x14ac:dyDescent="0.3">
      <c r="A56" t="s">
        <v>984</v>
      </c>
      <c r="B56" t="s">
        <v>941</v>
      </c>
      <c r="C56" t="s">
        <v>515</v>
      </c>
      <c r="D56" s="1" t="s">
        <v>909</v>
      </c>
      <c r="E56" t="s">
        <v>892</v>
      </c>
      <c r="F56">
        <v>2</v>
      </c>
    </row>
    <row r="57" spans="1:6" hidden="1" x14ac:dyDescent="0.3">
      <c r="A57" t="s">
        <v>985</v>
      </c>
      <c r="B57" t="s">
        <v>893</v>
      </c>
      <c r="C57" t="s">
        <v>902</v>
      </c>
      <c r="D57" t="s">
        <v>640</v>
      </c>
      <c r="E57" t="s">
        <v>896</v>
      </c>
      <c r="F57">
        <v>1</v>
      </c>
    </row>
    <row r="58" spans="1:6" hidden="1" x14ac:dyDescent="0.3">
      <c r="A58" t="s">
        <v>986</v>
      </c>
      <c r="B58" t="s">
        <v>893</v>
      </c>
      <c r="C58" t="s">
        <v>902</v>
      </c>
      <c r="D58" t="s">
        <v>640</v>
      </c>
      <c r="E58" t="s">
        <v>896</v>
      </c>
      <c r="F58">
        <v>1</v>
      </c>
    </row>
    <row r="59" spans="1:6" x14ac:dyDescent="0.3">
      <c r="A59" t="s">
        <v>987</v>
      </c>
      <c r="B59" t="s">
        <v>893</v>
      </c>
      <c r="C59" t="s">
        <v>902</v>
      </c>
      <c r="D59" t="s">
        <v>936</v>
      </c>
      <c r="E59" t="s">
        <v>935</v>
      </c>
      <c r="F59">
        <v>2</v>
      </c>
    </row>
    <row r="60" spans="1:6" hidden="1" x14ac:dyDescent="0.3">
      <c r="A60" t="s">
        <v>988</v>
      </c>
      <c r="B60" t="s">
        <v>640</v>
      </c>
      <c r="C60" t="s">
        <v>893</v>
      </c>
      <c r="D60" t="s">
        <v>902</v>
      </c>
      <c r="E60" t="s">
        <v>896</v>
      </c>
      <c r="F60">
        <v>1</v>
      </c>
    </row>
    <row r="61" spans="1:6" x14ac:dyDescent="0.3">
      <c r="A61" t="s">
        <v>989</v>
      </c>
      <c r="B61" t="s">
        <v>935</v>
      </c>
      <c r="C61" t="s">
        <v>936</v>
      </c>
      <c r="D61" t="s">
        <v>962</v>
      </c>
      <c r="E61" t="s">
        <v>971</v>
      </c>
      <c r="F61">
        <v>2</v>
      </c>
    </row>
    <row r="62" spans="1:6" x14ac:dyDescent="0.3">
      <c r="A62" t="s">
        <v>990</v>
      </c>
      <c r="B62" t="s">
        <v>971</v>
      </c>
      <c r="C62" t="s">
        <v>991</v>
      </c>
      <c r="D62" t="s">
        <v>935</v>
      </c>
      <c r="E62" t="s">
        <v>936</v>
      </c>
      <c r="F62">
        <v>2</v>
      </c>
    </row>
    <row r="63" spans="1:6" hidden="1" x14ac:dyDescent="0.3">
      <c r="A63" t="s">
        <v>992</v>
      </c>
      <c r="B63" t="s">
        <v>993</v>
      </c>
      <c r="C63" t="s">
        <v>515</v>
      </c>
      <c r="D63" t="s">
        <v>994</v>
      </c>
      <c r="E63" t="s">
        <v>995</v>
      </c>
      <c r="F63">
        <v>1</v>
      </c>
    </row>
    <row r="64" spans="1:6" hidden="1" x14ac:dyDescent="0.3">
      <c r="A64" t="s">
        <v>996</v>
      </c>
      <c r="B64" t="s">
        <v>994</v>
      </c>
      <c r="C64" t="s">
        <v>515</v>
      </c>
      <c r="D64" t="s">
        <v>993</v>
      </c>
      <c r="E64" t="s">
        <v>995</v>
      </c>
      <c r="F64">
        <v>1</v>
      </c>
    </row>
    <row r="65" spans="1:6" hidden="1" x14ac:dyDescent="0.3">
      <c r="A65" t="s">
        <v>997</v>
      </c>
      <c r="B65" t="s">
        <v>515</v>
      </c>
      <c r="C65" t="s">
        <v>913</v>
      </c>
      <c r="D65" t="s">
        <v>993</v>
      </c>
      <c r="E65" t="s">
        <v>994</v>
      </c>
      <c r="F65">
        <v>1</v>
      </c>
    </row>
    <row r="66" spans="1:6" hidden="1" x14ac:dyDescent="0.3">
      <c r="A66" t="s">
        <v>998</v>
      </c>
      <c r="B66" t="s">
        <v>515</v>
      </c>
      <c r="C66" t="s">
        <v>913</v>
      </c>
      <c r="D66" t="s">
        <v>993</v>
      </c>
      <c r="E66" s="1" t="s">
        <v>1000</v>
      </c>
      <c r="F66">
        <v>1</v>
      </c>
    </row>
    <row r="67" spans="1:6" hidden="1" x14ac:dyDescent="0.3">
      <c r="A67" t="s">
        <v>999</v>
      </c>
      <c r="B67" t="s">
        <v>515</v>
      </c>
      <c r="C67" t="s">
        <v>913</v>
      </c>
      <c r="D67" t="s">
        <v>993</v>
      </c>
      <c r="E67" s="1" t="s">
        <v>1000</v>
      </c>
      <c r="F67">
        <v>1</v>
      </c>
    </row>
    <row r="68" spans="1:6" x14ac:dyDescent="0.3">
      <c r="A68" t="s">
        <v>1001</v>
      </c>
      <c r="B68" t="s">
        <v>892</v>
      </c>
      <c r="C68" t="s">
        <v>891</v>
      </c>
      <c r="D68" t="s">
        <v>73</v>
      </c>
      <c r="E68" t="s">
        <v>926</v>
      </c>
      <c r="F68">
        <v>2</v>
      </c>
    </row>
    <row r="69" spans="1:6" x14ac:dyDescent="0.3">
      <c r="A69" t="s">
        <v>1002</v>
      </c>
      <c r="B69" t="s">
        <v>892</v>
      </c>
      <c r="C69" t="s">
        <v>891</v>
      </c>
      <c r="D69" t="s">
        <v>73</v>
      </c>
      <c r="E69" t="s">
        <v>926</v>
      </c>
      <c r="F69">
        <v>2</v>
      </c>
    </row>
    <row r="70" spans="1:6" x14ac:dyDescent="0.3">
      <c r="A70" t="s">
        <v>1003</v>
      </c>
      <c r="B70" t="s">
        <v>73</v>
      </c>
      <c r="C70" t="s">
        <v>926</v>
      </c>
      <c r="D70" t="s">
        <v>1004</v>
      </c>
      <c r="E70" t="s">
        <v>893</v>
      </c>
      <c r="F70">
        <v>2</v>
      </c>
    </row>
    <row r="71" spans="1:6" hidden="1" x14ac:dyDescent="0.3">
      <c r="A71" t="s">
        <v>1005</v>
      </c>
      <c r="B71" t="s">
        <v>629</v>
      </c>
      <c r="C71" t="s">
        <v>895</v>
      </c>
      <c r="D71" t="s">
        <v>640</v>
      </c>
      <c r="E71" t="s">
        <v>902</v>
      </c>
      <c r="F71">
        <v>1</v>
      </c>
    </row>
    <row r="72" spans="1:6" hidden="1" x14ac:dyDescent="0.3">
      <c r="A72" t="s">
        <v>1006</v>
      </c>
      <c r="B72" t="s">
        <v>895</v>
      </c>
      <c r="C72" t="s">
        <v>629</v>
      </c>
      <c r="D72" t="s">
        <v>640</v>
      </c>
      <c r="E72" t="s">
        <v>902</v>
      </c>
      <c r="F72">
        <v>1</v>
      </c>
    </row>
    <row r="73" spans="1:6" x14ac:dyDescent="0.3">
      <c r="A73" t="s">
        <v>1007</v>
      </c>
      <c r="B73" t="s">
        <v>515</v>
      </c>
      <c r="C73" t="s">
        <v>937</v>
      </c>
      <c r="D73" t="s">
        <v>913</v>
      </c>
      <c r="E73" t="s">
        <v>976</v>
      </c>
      <c r="F73">
        <v>2</v>
      </c>
    </row>
    <row r="74" spans="1:6" x14ac:dyDescent="0.3">
      <c r="A74" t="s">
        <v>1008</v>
      </c>
      <c r="B74" t="s">
        <v>911</v>
      </c>
      <c r="C74" t="s">
        <v>912</v>
      </c>
      <c r="D74" t="s">
        <v>1009</v>
      </c>
      <c r="E74" t="s">
        <v>640</v>
      </c>
      <c r="F74">
        <v>2</v>
      </c>
    </row>
    <row r="75" spans="1:6" x14ac:dyDescent="0.3">
      <c r="A75" t="s">
        <v>1010</v>
      </c>
      <c r="B75" t="s">
        <v>1011</v>
      </c>
      <c r="C75" t="s">
        <v>895</v>
      </c>
      <c r="D75" t="s">
        <v>1012</v>
      </c>
      <c r="E75" t="s">
        <v>1013</v>
      </c>
      <c r="F75">
        <v>2</v>
      </c>
    </row>
    <row r="76" spans="1:6" x14ac:dyDescent="0.3">
      <c r="A76" t="s">
        <v>1014</v>
      </c>
      <c r="B76" t="s">
        <v>892</v>
      </c>
      <c r="C76" t="s">
        <v>891</v>
      </c>
      <c r="D76" s="1" t="s">
        <v>1013</v>
      </c>
      <c r="E76" t="s">
        <v>1012</v>
      </c>
      <c r="F76">
        <v>2</v>
      </c>
    </row>
    <row r="77" spans="1:6" x14ac:dyDescent="0.3">
      <c r="A77" t="s">
        <v>1015</v>
      </c>
      <c r="B77" t="s">
        <v>1012</v>
      </c>
      <c r="C77" t="s">
        <v>640</v>
      </c>
      <c r="D77" t="s">
        <v>1013</v>
      </c>
      <c r="E77" t="s">
        <v>1016</v>
      </c>
      <c r="F77">
        <v>2</v>
      </c>
    </row>
    <row r="78" spans="1:6" x14ac:dyDescent="0.3">
      <c r="A78" t="s">
        <v>1017</v>
      </c>
      <c r="B78" t="s">
        <v>1018</v>
      </c>
      <c r="C78" t="s">
        <v>1019</v>
      </c>
      <c r="D78" t="s">
        <v>891</v>
      </c>
      <c r="E78" t="s">
        <v>892</v>
      </c>
      <c r="F78">
        <v>2</v>
      </c>
    </row>
    <row r="79" spans="1:6" x14ac:dyDescent="0.3">
      <c r="A79" t="s">
        <v>1020</v>
      </c>
      <c r="B79" t="s">
        <v>1013</v>
      </c>
      <c r="C79" t="s">
        <v>1012</v>
      </c>
      <c r="D79" t="s">
        <v>1011</v>
      </c>
      <c r="E79" t="s">
        <v>1021</v>
      </c>
      <c r="F79">
        <v>2</v>
      </c>
    </row>
    <row r="80" spans="1:6" x14ac:dyDescent="0.3">
      <c r="A80" t="s">
        <v>1022</v>
      </c>
      <c r="B80" t="s">
        <v>892</v>
      </c>
      <c r="C80" t="s">
        <v>1013</v>
      </c>
      <c r="D80" t="s">
        <v>1012</v>
      </c>
      <c r="E80" t="s">
        <v>1021</v>
      </c>
      <c r="F80">
        <v>2</v>
      </c>
    </row>
    <row r="81" spans="1:6" x14ac:dyDescent="0.3">
      <c r="A81" t="s">
        <v>1023</v>
      </c>
      <c r="B81" t="s">
        <v>1021</v>
      </c>
      <c r="C81" t="s">
        <v>1013</v>
      </c>
      <c r="D81" t="s">
        <v>1012</v>
      </c>
      <c r="E81" t="s">
        <v>1011</v>
      </c>
      <c r="F81">
        <v>2</v>
      </c>
    </row>
    <row r="82" spans="1:6" x14ac:dyDescent="0.3">
      <c r="A82" t="s">
        <v>1024</v>
      </c>
      <c r="B82" t="s">
        <v>1016</v>
      </c>
      <c r="C82" t="s">
        <v>640</v>
      </c>
      <c r="D82" t="s">
        <v>1012</v>
      </c>
      <c r="E82" t="s">
        <v>1013</v>
      </c>
      <c r="F82">
        <v>2</v>
      </c>
    </row>
    <row r="83" spans="1:6" x14ac:dyDescent="0.3">
      <c r="A83" t="s">
        <v>1025</v>
      </c>
      <c r="B83" t="s">
        <v>640</v>
      </c>
      <c r="C83" t="s">
        <v>659</v>
      </c>
      <c r="D83" t="s">
        <v>1026</v>
      </c>
      <c r="E83" t="s">
        <v>895</v>
      </c>
      <c r="F83">
        <v>2</v>
      </c>
    </row>
    <row r="84" spans="1:6" x14ac:dyDescent="0.3">
      <c r="A84" t="s">
        <v>1027</v>
      </c>
      <c r="B84" t="s">
        <v>659</v>
      </c>
      <c r="C84" t="s">
        <v>1026</v>
      </c>
      <c r="D84" t="s">
        <v>640</v>
      </c>
      <c r="E84" t="s">
        <v>895</v>
      </c>
      <c r="F84">
        <v>2</v>
      </c>
    </row>
    <row r="85" spans="1:6" hidden="1" x14ac:dyDescent="0.3">
      <c r="A85" t="s">
        <v>1028</v>
      </c>
      <c r="B85" t="s">
        <v>892</v>
      </c>
      <c r="C85" t="s">
        <v>891</v>
      </c>
      <c r="D85" t="s">
        <v>1029</v>
      </c>
      <c r="E85" t="s">
        <v>940</v>
      </c>
      <c r="F85">
        <v>1</v>
      </c>
    </row>
    <row r="86" spans="1:6" hidden="1" x14ac:dyDescent="0.3">
      <c r="A86" t="s">
        <v>981</v>
      </c>
      <c r="B86" t="s">
        <v>940</v>
      </c>
      <c r="C86" t="s">
        <v>1030</v>
      </c>
      <c r="D86" t="s">
        <v>1029</v>
      </c>
      <c r="E86" t="s">
        <v>941</v>
      </c>
      <c r="F86">
        <v>1</v>
      </c>
    </row>
    <row r="87" spans="1:6" hidden="1" x14ac:dyDescent="0.3">
      <c r="A87" t="s">
        <v>1031</v>
      </c>
      <c r="B87" t="s">
        <v>936</v>
      </c>
      <c r="C87" t="s">
        <v>935</v>
      </c>
      <c r="D87" t="s">
        <v>895</v>
      </c>
      <c r="E87" t="s">
        <v>640</v>
      </c>
      <c r="F87">
        <v>1</v>
      </c>
    </row>
  </sheetData>
  <autoFilter ref="F1:F87" xr:uid="{669D93D0-CDF3-4BC4-B48B-8587E00099B5}">
    <filterColumn colId="0">
      <filters>
        <filter val="2"/>
      </filters>
    </filterColumn>
  </autoFilter>
  <hyperlinks>
    <hyperlink ref="D10" r:id="rId1" xr:uid="{F606A68D-B9C3-4A2F-AC76-ED1BCCAE7BF9}"/>
    <hyperlink ref="B21" r:id="rId2" xr:uid="{0B14BF1A-7AF6-4B31-9902-B45484908D3F}"/>
    <hyperlink ref="D28" r:id="rId3" xr:uid="{B3D56526-50DE-478A-A955-C11D1D3E7E24}"/>
    <hyperlink ref="D29" r:id="rId4" xr:uid="{940DC72E-C09B-4AB9-B023-1EB8A4DF0226}"/>
    <hyperlink ref="B44" r:id="rId5" xr:uid="{6A8950B2-232F-4580-992A-705C3E30CE98}"/>
    <hyperlink ref="B45" r:id="rId6" xr:uid="{9175639F-A79C-4631-8F34-25B8A7CB1E5D}"/>
    <hyperlink ref="D55" r:id="rId7" xr:uid="{854DAA68-CA4C-4B4B-BB57-B4EF77F11223}"/>
    <hyperlink ref="D56" r:id="rId8" xr:uid="{2D7335CE-D5E2-4347-9D48-FD0A34333FDC}"/>
    <hyperlink ref="E66" r:id="rId9" xr:uid="{84768C57-ED74-40B2-91E1-29A7013E0D58}"/>
    <hyperlink ref="E67" r:id="rId10" xr:uid="{762D6EF9-6052-4E46-AC76-277C6E49B522}"/>
    <hyperlink ref="D76" r:id="rId11" display="\\Omega" xr:uid="{5A7CEEDB-569B-446F-9A84-7ECE51A964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2E7E-7D71-4D59-A32C-F045310BF716}">
  <dimension ref="A1:E42"/>
  <sheetViews>
    <sheetView topLeftCell="A22" workbookViewId="0">
      <selection activeCell="A43" sqref="A43"/>
    </sheetView>
  </sheetViews>
  <sheetFormatPr baseColWidth="10" defaultRowHeight="14.4" x14ac:dyDescent="0.3"/>
  <cols>
    <col min="1" max="1" width="29.33203125" customWidth="1"/>
    <col min="2" max="2" width="39.5546875" bestFit="1" customWidth="1"/>
    <col min="3" max="3" width="22.77734375" bestFit="1" customWidth="1"/>
    <col min="4" max="4" width="20.109375" customWidth="1"/>
  </cols>
  <sheetData>
    <row r="1" spans="1:5" x14ac:dyDescent="0.3">
      <c r="A1" t="s">
        <v>10</v>
      </c>
      <c r="B1" t="s">
        <v>1</v>
      </c>
      <c r="C1" t="s">
        <v>0</v>
      </c>
      <c r="D1" t="s">
        <v>2</v>
      </c>
      <c r="E1" t="s">
        <v>3</v>
      </c>
    </row>
    <row r="2" spans="1:5" x14ac:dyDescent="0.3">
      <c r="A2" t="s">
        <v>11</v>
      </c>
      <c r="B2" t="s">
        <v>4</v>
      </c>
      <c r="C2" t="s">
        <v>0</v>
      </c>
      <c r="D2" t="s">
        <v>5</v>
      </c>
      <c r="E2" t="s">
        <v>6</v>
      </c>
    </row>
    <row r="3" spans="1:5" x14ac:dyDescent="0.3">
      <c r="A3" t="s">
        <v>12</v>
      </c>
      <c r="B3" t="s">
        <v>0</v>
      </c>
      <c r="C3" t="s">
        <v>7</v>
      </c>
      <c r="D3" t="s">
        <v>8</v>
      </c>
      <c r="E3" t="s">
        <v>9</v>
      </c>
    </row>
    <row r="4" spans="1:5" x14ac:dyDescent="0.3">
      <c r="A4" t="s">
        <v>18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120</v>
      </c>
      <c r="E8" t="s">
        <v>131</v>
      </c>
    </row>
    <row r="9" spans="1:5" x14ac:dyDescent="0.3">
      <c r="A9" t="s">
        <v>12</v>
      </c>
      <c r="B9" t="s">
        <v>35</v>
      </c>
      <c r="C9" t="s">
        <v>8</v>
      </c>
      <c r="D9" t="s">
        <v>5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37</v>
      </c>
      <c r="B11" t="s">
        <v>42</v>
      </c>
      <c r="C11" t="s">
        <v>39</v>
      </c>
      <c r="D11" t="s">
        <v>40</v>
      </c>
      <c r="E11" t="s">
        <v>41</v>
      </c>
    </row>
    <row r="12" spans="1:5" x14ac:dyDescent="0.3">
      <c r="A12" t="s">
        <v>11</v>
      </c>
      <c r="B12" t="s">
        <v>43</v>
      </c>
      <c r="C12" t="s">
        <v>44</v>
      </c>
      <c r="D12" t="s">
        <v>45</v>
      </c>
      <c r="E12" t="s">
        <v>842</v>
      </c>
    </row>
    <row r="13" spans="1:5" x14ac:dyDescent="0.3">
      <c r="A13" t="s">
        <v>46</v>
      </c>
      <c r="B13" t="s">
        <v>47</v>
      </c>
      <c r="C13" t="s">
        <v>48</v>
      </c>
      <c r="D13" t="s">
        <v>45</v>
      </c>
      <c r="E13" t="s">
        <v>49</v>
      </c>
    </row>
    <row r="14" spans="1:5" x14ac:dyDescent="0.3">
      <c r="A14" t="s">
        <v>50</v>
      </c>
      <c r="B14" t="s">
        <v>51</v>
      </c>
      <c r="C14" t="s">
        <v>52</v>
      </c>
      <c r="D14" t="s">
        <v>0</v>
      </c>
      <c r="E14" t="s">
        <v>3</v>
      </c>
    </row>
    <row r="15" spans="1:5" x14ac:dyDescent="0.3">
      <c r="A15" t="s">
        <v>53</v>
      </c>
      <c r="B15" t="s">
        <v>54</v>
      </c>
      <c r="C15" t="s">
        <v>55</v>
      </c>
      <c r="D15" t="s">
        <v>0</v>
      </c>
      <c r="E15" t="s">
        <v>3</v>
      </c>
    </row>
    <row r="16" spans="1:5" x14ac:dyDescent="0.3">
      <c r="A16" t="s">
        <v>56</v>
      </c>
      <c r="B16" t="s">
        <v>59</v>
      </c>
      <c r="C16" t="s">
        <v>58</v>
      </c>
      <c r="D16" t="s">
        <v>60</v>
      </c>
      <c r="E16" t="s">
        <v>57</v>
      </c>
    </row>
    <row r="17" spans="1:5" x14ac:dyDescent="0.3">
      <c r="A17" t="s">
        <v>61</v>
      </c>
      <c r="B17" t="s">
        <v>62</v>
      </c>
      <c r="C17" t="s">
        <v>63</v>
      </c>
      <c r="D17" t="s">
        <v>64</v>
      </c>
      <c r="E17" t="s">
        <v>0</v>
      </c>
    </row>
    <row r="18" spans="1:5" x14ac:dyDescent="0.3">
      <c r="A18" t="s">
        <v>65</v>
      </c>
      <c r="B18" t="s">
        <v>66</v>
      </c>
      <c r="C18" t="s">
        <v>67</v>
      </c>
      <c r="D18" t="s">
        <v>68</v>
      </c>
      <c r="E18" t="s">
        <v>0</v>
      </c>
    </row>
    <row r="19" spans="1:5" x14ac:dyDescent="0.3">
      <c r="A19" t="s">
        <v>69</v>
      </c>
      <c r="B19" t="s">
        <v>34</v>
      </c>
      <c r="C19" t="s">
        <v>0</v>
      </c>
      <c r="D19" t="s">
        <v>42</v>
      </c>
      <c r="E19" t="s">
        <v>41</v>
      </c>
    </row>
    <row r="20" spans="1:5" x14ac:dyDescent="0.3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 t="s">
        <v>77</v>
      </c>
      <c r="B21" t="s">
        <v>75</v>
      </c>
      <c r="C21" t="s">
        <v>76</v>
      </c>
      <c r="D21" t="s">
        <v>78</v>
      </c>
      <c r="E21" t="s">
        <v>79</v>
      </c>
    </row>
    <row r="22" spans="1:5" x14ac:dyDescent="0.3">
      <c r="A22" t="s">
        <v>81</v>
      </c>
      <c r="B22">
        <v>0</v>
      </c>
      <c r="C22">
        <v>90</v>
      </c>
      <c r="D22">
        <v>-90</v>
      </c>
      <c r="E22">
        <v>45</v>
      </c>
    </row>
    <row r="23" spans="1:5" x14ac:dyDescent="0.3">
      <c r="A23" t="s">
        <v>80</v>
      </c>
      <c r="B23">
        <v>90</v>
      </c>
      <c r="C23">
        <v>0</v>
      </c>
      <c r="D23">
        <v>-90</v>
      </c>
      <c r="E23">
        <v>45</v>
      </c>
    </row>
    <row r="24" spans="1:5" x14ac:dyDescent="0.3">
      <c r="A24" t="s">
        <v>82</v>
      </c>
      <c r="B24">
        <v>-90</v>
      </c>
      <c r="C24">
        <v>0</v>
      </c>
      <c r="D24">
        <v>90</v>
      </c>
      <c r="E24">
        <v>45</v>
      </c>
    </row>
    <row r="25" spans="1:5" x14ac:dyDescent="0.3">
      <c r="A25" t="s">
        <v>83</v>
      </c>
      <c r="B25" s="1" t="s">
        <v>121</v>
      </c>
      <c r="C25" s="1" t="s">
        <v>122</v>
      </c>
      <c r="D25">
        <v>45</v>
      </c>
      <c r="E25" s="1" t="s">
        <v>123</v>
      </c>
    </row>
    <row r="26" spans="1:5" x14ac:dyDescent="0.3">
      <c r="A26" t="s">
        <v>84</v>
      </c>
      <c r="B26" s="1" t="s">
        <v>844</v>
      </c>
      <c r="C26" t="s">
        <v>124</v>
      </c>
      <c r="D26" s="1" t="s">
        <v>125</v>
      </c>
      <c r="E26" s="1" t="s">
        <v>126</v>
      </c>
    </row>
    <row r="27" spans="1:5" x14ac:dyDescent="0.3">
      <c r="A27" t="s">
        <v>85</v>
      </c>
      <c r="B27" s="1" t="s">
        <v>127</v>
      </c>
      <c r="C27" t="s">
        <v>128</v>
      </c>
      <c r="D27" s="1" t="s">
        <v>129</v>
      </c>
      <c r="E27" s="1" t="s">
        <v>130</v>
      </c>
    </row>
    <row r="28" spans="1:5" x14ac:dyDescent="0.3">
      <c r="A28" t="s">
        <v>843</v>
      </c>
      <c r="B28" t="s">
        <v>118</v>
      </c>
      <c r="C28" s="1" t="s">
        <v>88</v>
      </c>
      <c r="D28" t="s">
        <v>89</v>
      </c>
      <c r="E28" t="s">
        <v>90</v>
      </c>
    </row>
    <row r="29" spans="1:5" x14ac:dyDescent="0.3">
      <c r="A29" t="s">
        <v>86</v>
      </c>
      <c r="B29" t="s">
        <v>119</v>
      </c>
      <c r="C29" s="1" t="s">
        <v>91</v>
      </c>
      <c r="D29" t="s">
        <v>92</v>
      </c>
      <c r="E29" t="s">
        <v>93</v>
      </c>
    </row>
    <row r="30" spans="1:5" x14ac:dyDescent="0.3">
      <c r="A30" t="s">
        <v>87</v>
      </c>
      <c r="B30" t="s">
        <v>117</v>
      </c>
      <c r="C30" s="1" t="s">
        <v>94</v>
      </c>
      <c r="D30" t="s">
        <v>95</v>
      </c>
      <c r="E30" t="s">
        <v>116</v>
      </c>
    </row>
    <row r="31" spans="1:5" x14ac:dyDescent="0.3">
      <c r="A31" t="s">
        <v>96</v>
      </c>
      <c r="B31" t="s">
        <v>97</v>
      </c>
      <c r="C31" t="s">
        <v>3</v>
      </c>
      <c r="D31" t="s">
        <v>98</v>
      </c>
      <c r="E31">
        <v>0</v>
      </c>
    </row>
    <row r="32" spans="1:5" x14ac:dyDescent="0.3">
      <c r="A32" t="s">
        <v>96</v>
      </c>
      <c r="B32" t="s">
        <v>99</v>
      </c>
      <c r="C32" t="s">
        <v>3</v>
      </c>
      <c r="D32" t="s">
        <v>98</v>
      </c>
      <c r="E32">
        <v>0</v>
      </c>
    </row>
    <row r="33" spans="1:5" x14ac:dyDescent="0.3">
      <c r="A33" t="s">
        <v>100</v>
      </c>
      <c r="B33">
        <v>0</v>
      </c>
      <c r="C33" t="s">
        <v>99</v>
      </c>
      <c r="D33" t="s">
        <v>3</v>
      </c>
      <c r="E33" t="s">
        <v>97</v>
      </c>
    </row>
    <row r="34" spans="1:5" x14ac:dyDescent="0.3">
      <c r="A34" t="s">
        <v>101</v>
      </c>
      <c r="B34">
        <v>0</v>
      </c>
      <c r="C34" t="s">
        <v>102</v>
      </c>
      <c r="D34" t="s">
        <v>103</v>
      </c>
      <c r="E34" t="s">
        <v>105</v>
      </c>
    </row>
    <row r="35" spans="1:5" x14ac:dyDescent="0.3">
      <c r="A35" t="s">
        <v>104</v>
      </c>
      <c r="B35" t="s">
        <v>102</v>
      </c>
      <c r="C35" t="s">
        <v>105</v>
      </c>
      <c r="D35">
        <v>0</v>
      </c>
      <c r="E35" t="s">
        <v>106</v>
      </c>
    </row>
    <row r="36" spans="1:5" x14ac:dyDescent="0.3">
      <c r="A36" t="s">
        <v>104</v>
      </c>
      <c r="B36" t="s">
        <v>103</v>
      </c>
      <c r="C36" t="s">
        <v>105</v>
      </c>
      <c r="D36">
        <v>0</v>
      </c>
      <c r="E36" t="s">
        <v>106</v>
      </c>
    </row>
    <row r="37" spans="1:5" x14ac:dyDescent="0.3">
      <c r="A37" t="s">
        <v>107</v>
      </c>
      <c r="B37">
        <v>0</v>
      </c>
      <c r="C37" t="s">
        <v>111</v>
      </c>
      <c r="D37" t="s">
        <v>112</v>
      </c>
      <c r="E37" t="s">
        <v>110</v>
      </c>
    </row>
    <row r="38" spans="1:5" x14ac:dyDescent="0.3">
      <c r="A38" t="s">
        <v>108</v>
      </c>
      <c r="B38" t="s">
        <v>111</v>
      </c>
      <c r="C38">
        <v>0</v>
      </c>
      <c r="D38" t="s">
        <v>109</v>
      </c>
      <c r="E38" t="s">
        <v>110</v>
      </c>
    </row>
    <row r="39" spans="1:5" x14ac:dyDescent="0.3">
      <c r="A39" t="s">
        <v>108</v>
      </c>
      <c r="B39" t="s">
        <v>112</v>
      </c>
      <c r="C39">
        <v>0</v>
      </c>
      <c r="D39" t="s">
        <v>109</v>
      </c>
      <c r="E39" t="s">
        <v>110</v>
      </c>
    </row>
    <row r="40" spans="1:5" x14ac:dyDescent="0.3">
      <c r="A40" t="s">
        <v>113</v>
      </c>
      <c r="B40">
        <v>1</v>
      </c>
      <c r="C40">
        <v>0</v>
      </c>
      <c r="D40">
        <v>0.5</v>
      </c>
      <c r="E40">
        <v>0.93</v>
      </c>
    </row>
    <row r="41" spans="1:5" x14ac:dyDescent="0.3">
      <c r="A41" t="s">
        <v>114</v>
      </c>
      <c r="B41">
        <v>0</v>
      </c>
      <c r="C41">
        <v>0.5</v>
      </c>
      <c r="D41">
        <v>0.93</v>
      </c>
      <c r="E41">
        <v>1</v>
      </c>
    </row>
    <row r="42" spans="1:5" x14ac:dyDescent="0.3">
      <c r="A42" t="s">
        <v>115</v>
      </c>
      <c r="B42">
        <v>0</v>
      </c>
      <c r="C42">
        <v>0.5</v>
      </c>
      <c r="D42">
        <v>0.93</v>
      </c>
      <c r="E42">
        <v>1</v>
      </c>
    </row>
  </sheetData>
  <hyperlinks>
    <hyperlink ref="B25" r:id="rId1" display="\\atan(\\frac{L\\omega}{R})" xr:uid="{7037856B-D39D-4DC3-A050-84C5AB32BE0D}"/>
    <hyperlink ref="C25" r:id="rId2" display="\\atan(\\frac{R}{L\\omega})" xr:uid="{2591DDAE-7FA1-4721-A99B-6DF47BB70F85}"/>
    <hyperlink ref="E25" r:id="rId3" display="\\atan(\\frac{L}{R})" xr:uid="{D8DA34B5-3445-421D-ACB2-DDFBADA989D5}"/>
    <hyperlink ref="B26" r:id="rId4" display="\\atan(\\frac{1}{RC\\omega})" xr:uid="{6B75A0F1-7884-4222-977E-A08745D4359C}"/>
    <hyperlink ref="E26" r:id="rId5" display="\\atan(\\frac{C}{R})" xr:uid="{E99565AF-9EE9-4D3D-83FC-8751E791579F}"/>
    <hyperlink ref="D26" r:id="rId6" display="\\atan(\\frac{C\\omega}{R})" xr:uid="{4DDCC356-64B3-4B99-88BC-3431251145A0}"/>
    <hyperlink ref="B27" r:id="rId7" display="\\atan(\\frac{L\\omega-\\frac{1}{C\\omega}}{R})" xr:uid="{C17AE77A-DA2D-4438-B98B-CE2B295FC3C4}"/>
    <hyperlink ref="E27" r:id="rId8" display="\\atan(\\frac{L\\omega}{CR})" xr:uid="{6D4EF882-30F5-43FE-8019-D7CC0508AD7A}"/>
    <hyperlink ref="D27" r:id="rId9" display="\\atan(\\frac{L+C}{R})" xr:uid="{81897B4D-F6DE-4085-A96B-050E166AD28A}"/>
    <hyperlink ref="C28" r:id="rId10" display="\\atan(\\frac{R}{L\\omega})" xr:uid="{97760F07-EE53-4FFD-81E9-D1D538C05CAF}"/>
    <hyperlink ref="C29" r:id="rId11" display="\\atan(\\frac{R}{L\\omega})" xr:uid="{052F244C-7E78-4F84-880D-9AC1CA7AF289}"/>
    <hyperlink ref="C30" r:id="rId12" display="\\atan(\\frac{R}{L\\omega})" xr:uid="{11069931-E840-43B9-A3AF-C3F6B58E18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6206-03F2-4F89-8196-C8D209084E58}">
  <dimension ref="A1:E12"/>
  <sheetViews>
    <sheetView workbookViewId="0">
      <selection activeCell="B10" sqref="A1:E12"/>
    </sheetView>
  </sheetViews>
  <sheetFormatPr baseColWidth="10" defaultRowHeight="14.4" x14ac:dyDescent="0.3"/>
  <cols>
    <col min="1" max="1" width="19.44140625" customWidth="1"/>
    <col min="2" max="2" width="15.109375" customWidth="1"/>
    <col min="3" max="3" width="18.6640625" customWidth="1"/>
  </cols>
  <sheetData>
    <row r="1" spans="1:5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 x14ac:dyDescent="0.3">
      <c r="A2" t="s">
        <v>142</v>
      </c>
      <c r="B2" t="s">
        <v>137</v>
      </c>
      <c r="C2" t="s">
        <v>138</v>
      </c>
      <c r="D2" t="s">
        <v>139</v>
      </c>
      <c r="E2" t="s">
        <v>140</v>
      </c>
    </row>
    <row r="3" spans="1:5" x14ac:dyDescent="0.3">
      <c r="A3" t="s">
        <v>141</v>
      </c>
      <c r="B3" t="s">
        <v>143</v>
      </c>
      <c r="C3" t="s">
        <v>144</v>
      </c>
      <c r="D3" t="s">
        <v>145</v>
      </c>
      <c r="E3" t="s">
        <v>146</v>
      </c>
    </row>
    <row r="4" spans="1:5" x14ac:dyDescent="0.3">
      <c r="A4" t="s">
        <v>132</v>
      </c>
      <c r="B4" t="s">
        <v>147</v>
      </c>
      <c r="C4" t="s">
        <v>148</v>
      </c>
      <c r="D4" t="s">
        <v>149</v>
      </c>
      <c r="E4" t="s">
        <v>150</v>
      </c>
    </row>
    <row r="5" spans="1:5" x14ac:dyDescent="0.3">
      <c r="A5" t="s">
        <v>151</v>
      </c>
      <c r="B5" t="s">
        <v>152</v>
      </c>
      <c r="C5" t="s">
        <v>153</v>
      </c>
      <c r="D5" t="s">
        <v>154</v>
      </c>
      <c r="E5" t="s">
        <v>155</v>
      </c>
    </row>
    <row r="6" spans="1:5" x14ac:dyDescent="0.3">
      <c r="A6" t="s">
        <v>160</v>
      </c>
      <c r="B6" t="s">
        <v>159</v>
      </c>
      <c r="C6" t="s">
        <v>158</v>
      </c>
      <c r="D6" t="s">
        <v>157</v>
      </c>
      <c r="E6" t="s">
        <v>156</v>
      </c>
    </row>
    <row r="7" spans="1:5" x14ac:dyDescent="0.3">
      <c r="A7" t="s">
        <v>161</v>
      </c>
      <c r="B7" t="s">
        <v>150</v>
      </c>
      <c r="C7" t="s">
        <v>158</v>
      </c>
      <c r="D7" t="s">
        <v>162</v>
      </c>
      <c r="E7" t="s">
        <v>163</v>
      </c>
    </row>
    <row r="8" spans="1:5" x14ac:dyDescent="0.3">
      <c r="A8" t="s">
        <v>164</v>
      </c>
      <c r="B8" t="s">
        <v>136</v>
      </c>
      <c r="C8" t="s">
        <v>144</v>
      </c>
      <c r="D8" t="s">
        <v>165</v>
      </c>
      <c r="E8" t="s">
        <v>166</v>
      </c>
    </row>
    <row r="9" spans="1:5" x14ac:dyDescent="0.3">
      <c r="A9" t="s">
        <v>167</v>
      </c>
      <c r="B9" t="s">
        <v>168</v>
      </c>
      <c r="C9" t="s">
        <v>169</v>
      </c>
      <c r="D9" t="s">
        <v>170</v>
      </c>
      <c r="E9" t="s">
        <v>171</v>
      </c>
    </row>
    <row r="10" spans="1:5" x14ac:dyDescent="0.3">
      <c r="A10" t="s">
        <v>172</v>
      </c>
      <c r="B10" t="s">
        <v>179</v>
      </c>
      <c r="C10" t="s">
        <v>174</v>
      </c>
      <c r="D10" t="s">
        <v>175</v>
      </c>
      <c r="E10" t="s">
        <v>176</v>
      </c>
    </row>
    <row r="11" spans="1:5" x14ac:dyDescent="0.3">
      <c r="A11" t="s">
        <v>177</v>
      </c>
      <c r="B11" t="s">
        <v>178</v>
      </c>
      <c r="C11" t="s">
        <v>174</v>
      </c>
      <c r="D11" t="s">
        <v>175</v>
      </c>
      <c r="E11" t="s">
        <v>180</v>
      </c>
    </row>
    <row r="12" spans="1:5" x14ac:dyDescent="0.3">
      <c r="A12" t="s">
        <v>181</v>
      </c>
      <c r="B12" t="s">
        <v>182</v>
      </c>
      <c r="C12" t="s">
        <v>48</v>
      </c>
      <c r="D12" t="s">
        <v>183</v>
      </c>
      <c r="E12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0D07-AEB7-49FA-8F13-9A57FFFF9D49}">
  <dimension ref="A1:E19"/>
  <sheetViews>
    <sheetView workbookViewId="0">
      <selection sqref="A1:E19"/>
    </sheetView>
  </sheetViews>
  <sheetFormatPr baseColWidth="10" defaultRowHeight="14.4" x14ac:dyDescent="0.3"/>
  <cols>
    <col min="1" max="1" width="43.33203125" customWidth="1"/>
  </cols>
  <sheetData>
    <row r="1" spans="1:5" x14ac:dyDescent="0.3">
      <c r="A1" t="s">
        <v>185</v>
      </c>
      <c r="B1" t="s">
        <v>186</v>
      </c>
      <c r="C1" t="s">
        <v>187</v>
      </c>
      <c r="D1" t="s">
        <v>48</v>
      </c>
      <c r="E1" t="s">
        <v>188</v>
      </c>
    </row>
    <row r="2" spans="1:5" x14ac:dyDescent="0.3">
      <c r="A2" t="s">
        <v>189</v>
      </c>
      <c r="B2" t="s">
        <v>190</v>
      </c>
      <c r="C2" t="s">
        <v>191</v>
      </c>
      <c r="D2" t="s">
        <v>192</v>
      </c>
      <c r="E2" t="s">
        <v>193</v>
      </c>
    </row>
    <row r="3" spans="1:5" x14ac:dyDescent="0.3">
      <c r="A3" t="s">
        <v>194</v>
      </c>
      <c r="B3" t="s">
        <v>195</v>
      </c>
      <c r="C3" t="s">
        <v>196</v>
      </c>
      <c r="D3" t="s">
        <v>197</v>
      </c>
      <c r="E3" t="s">
        <v>198</v>
      </c>
    </row>
    <row r="4" spans="1:5" x14ac:dyDescent="0.3">
      <c r="A4" t="s">
        <v>199</v>
      </c>
      <c r="B4" t="s">
        <v>838</v>
      </c>
      <c r="C4" t="s">
        <v>200</v>
      </c>
      <c r="D4" t="s">
        <v>201</v>
      </c>
      <c r="E4" t="s">
        <v>202</v>
      </c>
    </row>
    <row r="5" spans="1:5" x14ac:dyDescent="0.3">
      <c r="A5" t="s">
        <v>833</v>
      </c>
      <c r="B5" t="s">
        <v>203</v>
      </c>
      <c r="C5" t="s">
        <v>204</v>
      </c>
      <c r="D5" t="s">
        <v>205</v>
      </c>
      <c r="E5" t="s">
        <v>206</v>
      </c>
    </row>
    <row r="6" spans="1:5" x14ac:dyDescent="0.3">
      <c r="A6" t="s">
        <v>834</v>
      </c>
      <c r="B6" t="s">
        <v>206</v>
      </c>
      <c r="C6" t="s">
        <v>208</v>
      </c>
      <c r="D6" t="s">
        <v>207</v>
      </c>
      <c r="E6" t="s">
        <v>203</v>
      </c>
    </row>
    <row r="7" spans="1:5" x14ac:dyDescent="0.3">
      <c r="A7" t="s">
        <v>840</v>
      </c>
      <c r="B7" t="s">
        <v>209</v>
      </c>
      <c r="C7" t="s">
        <v>210</v>
      </c>
      <c r="D7" t="s">
        <v>211</v>
      </c>
      <c r="E7" t="s">
        <v>212</v>
      </c>
    </row>
    <row r="8" spans="1:5" x14ac:dyDescent="0.3">
      <c r="A8" t="s">
        <v>839</v>
      </c>
      <c r="B8" t="s">
        <v>211</v>
      </c>
      <c r="C8" t="s">
        <v>210</v>
      </c>
      <c r="D8" t="s">
        <v>209</v>
      </c>
      <c r="E8" t="s">
        <v>212</v>
      </c>
    </row>
    <row r="9" spans="1:5" x14ac:dyDescent="0.3">
      <c r="A9" t="s">
        <v>841</v>
      </c>
      <c r="B9" t="s">
        <v>210</v>
      </c>
      <c r="C9" t="s">
        <v>209</v>
      </c>
      <c r="D9" t="s">
        <v>212</v>
      </c>
      <c r="E9" t="s">
        <v>211</v>
      </c>
    </row>
    <row r="10" spans="1:5" x14ac:dyDescent="0.3">
      <c r="A10" t="s">
        <v>213</v>
      </c>
      <c r="B10" t="s">
        <v>214</v>
      </c>
      <c r="C10" t="s">
        <v>215</v>
      </c>
      <c r="D10" t="s">
        <v>216</v>
      </c>
      <c r="E10" t="s">
        <v>837</v>
      </c>
    </row>
    <row r="11" spans="1:5" x14ac:dyDescent="0.3">
      <c r="A11" t="s">
        <v>221</v>
      </c>
      <c r="B11" t="s">
        <v>217</v>
      </c>
      <c r="C11" t="s">
        <v>218</v>
      </c>
      <c r="D11" t="s">
        <v>219</v>
      </c>
      <c r="E11" t="s">
        <v>220</v>
      </c>
    </row>
    <row r="12" spans="1:5" x14ac:dyDescent="0.3">
      <c r="A12" t="s">
        <v>835</v>
      </c>
      <c r="B12" t="s">
        <v>218</v>
      </c>
      <c r="C12" t="s">
        <v>217</v>
      </c>
      <c r="D12" t="s">
        <v>219</v>
      </c>
      <c r="E12" t="s">
        <v>220</v>
      </c>
    </row>
    <row r="13" spans="1:5" x14ac:dyDescent="0.3">
      <c r="A13" t="s">
        <v>222</v>
      </c>
      <c r="B13" t="s">
        <v>223</v>
      </c>
      <c r="C13" t="s">
        <v>224</v>
      </c>
      <c r="D13" t="s">
        <v>225</v>
      </c>
      <c r="E13" t="s">
        <v>226</v>
      </c>
    </row>
    <row r="14" spans="1:5" x14ac:dyDescent="0.3">
      <c r="A14" t="s">
        <v>227</v>
      </c>
      <c r="B14" t="s">
        <v>225</v>
      </c>
      <c r="C14" t="s">
        <v>224</v>
      </c>
      <c r="D14" t="s">
        <v>223</v>
      </c>
      <c r="E14" t="s">
        <v>226</v>
      </c>
    </row>
    <row r="15" spans="1:5" x14ac:dyDescent="0.3">
      <c r="A15" t="s">
        <v>222</v>
      </c>
      <c r="B15" t="s">
        <v>228</v>
      </c>
      <c r="C15" t="s">
        <v>229</v>
      </c>
      <c r="D15" t="s">
        <v>224</v>
      </c>
      <c r="E15" t="s">
        <v>225</v>
      </c>
    </row>
    <row r="16" spans="1:5" x14ac:dyDescent="0.3">
      <c r="A16" t="s">
        <v>164</v>
      </c>
      <c r="B16" t="s">
        <v>136</v>
      </c>
      <c r="C16" t="s">
        <v>134</v>
      </c>
      <c r="D16" t="s">
        <v>133</v>
      </c>
      <c r="E16" t="s">
        <v>165</v>
      </c>
    </row>
    <row r="17" spans="1:5" x14ac:dyDescent="0.3">
      <c r="A17" t="s">
        <v>230</v>
      </c>
      <c r="B17" t="s">
        <v>231</v>
      </c>
      <c r="C17" t="s">
        <v>232</v>
      </c>
      <c r="D17" t="s">
        <v>233</v>
      </c>
      <c r="E17" t="s">
        <v>234</v>
      </c>
    </row>
    <row r="18" spans="1:5" x14ac:dyDescent="0.3">
      <c r="A18" t="s">
        <v>235</v>
      </c>
      <c r="B18" t="s">
        <v>236</v>
      </c>
      <c r="C18" t="s">
        <v>237</v>
      </c>
      <c r="D18" t="s">
        <v>238</v>
      </c>
      <c r="E18" t="s">
        <v>836</v>
      </c>
    </row>
    <row r="19" spans="1:5" x14ac:dyDescent="0.3">
      <c r="A19" t="s">
        <v>239</v>
      </c>
      <c r="B19" s="1" t="s">
        <v>240</v>
      </c>
      <c r="C19" s="1" t="s">
        <v>241</v>
      </c>
      <c r="D19" t="s">
        <v>242</v>
      </c>
      <c r="E19" s="1" t="s">
        <v>243</v>
      </c>
    </row>
  </sheetData>
  <hyperlinks>
    <hyperlink ref="B19" r:id="rId1" xr:uid="{95425105-8353-4BC5-9417-2F50BED0BC7F}"/>
    <hyperlink ref="C19" r:id="rId2" xr:uid="{F2E3F816-BDAC-4B55-8CCE-88B56FBFE348}"/>
    <hyperlink ref="E19" r:id="rId3" xr:uid="{274C4084-0A2D-46B5-8C3B-EEA37A971E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785D-7CB9-4E04-886B-7496664031F1}">
  <dimension ref="A1:E17"/>
  <sheetViews>
    <sheetView workbookViewId="0">
      <selection sqref="A1:A17"/>
    </sheetView>
  </sheetViews>
  <sheetFormatPr baseColWidth="10" defaultRowHeight="14.4" x14ac:dyDescent="0.3"/>
  <cols>
    <col min="1" max="1" width="49.21875" customWidth="1"/>
    <col min="2" max="2" width="18.33203125" customWidth="1"/>
    <col min="3" max="3" width="19" customWidth="1"/>
    <col min="4" max="4" width="18" customWidth="1"/>
  </cols>
  <sheetData>
    <row r="1" spans="1:5" x14ac:dyDescent="0.3">
      <c r="A1" t="s">
        <v>244</v>
      </c>
      <c r="B1" t="s">
        <v>0</v>
      </c>
      <c r="C1" t="s">
        <v>245</v>
      </c>
      <c r="D1" t="s">
        <v>246</v>
      </c>
      <c r="E1" t="s">
        <v>247</v>
      </c>
    </row>
    <row r="2" spans="1:5" x14ac:dyDescent="0.3">
      <c r="A2" t="s">
        <v>888</v>
      </c>
      <c r="B2" t="s">
        <v>3</v>
      </c>
      <c r="C2" t="s">
        <v>248</v>
      </c>
      <c r="D2" t="s">
        <v>0</v>
      </c>
      <c r="E2" t="s">
        <v>97</v>
      </c>
    </row>
    <row r="3" spans="1:5" x14ac:dyDescent="0.3">
      <c r="A3" t="s">
        <v>249</v>
      </c>
      <c r="B3" t="s">
        <v>47</v>
      </c>
      <c r="C3" t="s">
        <v>48</v>
      </c>
      <c r="D3" t="s">
        <v>188</v>
      </c>
      <c r="E3" t="s">
        <v>0</v>
      </c>
    </row>
    <row r="4" spans="1:5" x14ac:dyDescent="0.3">
      <c r="A4" t="s">
        <v>249</v>
      </c>
      <c r="B4" t="s">
        <v>250</v>
      </c>
      <c r="C4" t="s">
        <v>251</v>
      </c>
      <c r="D4" t="s">
        <v>188</v>
      </c>
      <c r="E4" t="s">
        <v>0</v>
      </c>
    </row>
    <row r="5" spans="1:5" x14ac:dyDescent="0.3">
      <c r="A5" t="s">
        <v>249</v>
      </c>
      <c r="B5" t="s">
        <v>252</v>
      </c>
      <c r="C5" t="s">
        <v>253</v>
      </c>
      <c r="D5" t="s">
        <v>188</v>
      </c>
      <c r="E5" t="s">
        <v>254</v>
      </c>
    </row>
    <row r="6" spans="1:5" x14ac:dyDescent="0.3">
      <c r="A6" t="s">
        <v>840</v>
      </c>
      <c r="B6" t="s">
        <v>209</v>
      </c>
      <c r="C6" t="s">
        <v>210</v>
      </c>
      <c r="D6" t="s">
        <v>211</v>
      </c>
      <c r="E6" t="s">
        <v>212</v>
      </c>
    </row>
    <row r="7" spans="1:5" x14ac:dyDescent="0.3">
      <c r="A7" t="s">
        <v>839</v>
      </c>
      <c r="B7" t="s">
        <v>211</v>
      </c>
      <c r="C7" t="s">
        <v>210</v>
      </c>
      <c r="D7" t="s">
        <v>209</v>
      </c>
      <c r="E7" t="s">
        <v>212</v>
      </c>
    </row>
    <row r="8" spans="1:5" x14ac:dyDescent="0.3">
      <c r="A8" t="s">
        <v>841</v>
      </c>
      <c r="B8" t="s">
        <v>210</v>
      </c>
      <c r="C8" t="s">
        <v>209</v>
      </c>
      <c r="D8" t="s">
        <v>212</v>
      </c>
      <c r="E8" t="s">
        <v>211</v>
      </c>
    </row>
    <row r="9" spans="1:5" x14ac:dyDescent="0.3">
      <c r="A9" t="s">
        <v>255</v>
      </c>
      <c r="B9" t="s">
        <v>256</v>
      </c>
      <c r="C9" t="s">
        <v>257</v>
      </c>
      <c r="D9" s="1" t="s">
        <v>258</v>
      </c>
      <c r="E9" s="1" t="s">
        <v>259</v>
      </c>
    </row>
    <row r="10" spans="1:5" x14ac:dyDescent="0.3">
      <c r="A10" t="s">
        <v>260</v>
      </c>
      <c r="B10" t="s">
        <v>257</v>
      </c>
      <c r="C10" t="s">
        <v>256</v>
      </c>
      <c r="D10" s="1" t="s">
        <v>259</v>
      </c>
      <c r="E10" t="s">
        <v>0</v>
      </c>
    </row>
    <row r="11" spans="1:5" x14ac:dyDescent="0.3">
      <c r="A11" t="s">
        <v>260</v>
      </c>
      <c r="B11" s="1" t="s">
        <v>258</v>
      </c>
      <c r="C11" t="s">
        <v>256</v>
      </c>
      <c r="D11" s="1" t="s">
        <v>259</v>
      </c>
      <c r="E11" t="s">
        <v>0</v>
      </c>
    </row>
    <row r="12" spans="1:5" x14ac:dyDescent="0.3">
      <c r="A12" t="s">
        <v>261</v>
      </c>
      <c r="B12" t="s">
        <v>97</v>
      </c>
      <c r="C12" t="s">
        <v>3</v>
      </c>
      <c r="D12" t="s">
        <v>262</v>
      </c>
      <c r="E12" t="s">
        <v>98</v>
      </c>
    </row>
    <row r="13" spans="1:5" x14ac:dyDescent="0.3">
      <c r="A13" t="s">
        <v>261</v>
      </c>
      <c r="B13" t="s">
        <v>99</v>
      </c>
      <c r="C13" t="s">
        <v>3</v>
      </c>
      <c r="D13" t="s">
        <v>262</v>
      </c>
      <c r="E13" t="s">
        <v>98</v>
      </c>
    </row>
    <row r="14" spans="1:5" x14ac:dyDescent="0.3">
      <c r="A14" t="s">
        <v>263</v>
      </c>
      <c r="B14" t="s">
        <v>264</v>
      </c>
      <c r="C14" t="s">
        <v>265</v>
      </c>
      <c r="D14" t="s">
        <v>266</v>
      </c>
      <c r="E14" t="s">
        <v>267</v>
      </c>
    </row>
    <row r="15" spans="1:5" x14ac:dyDescent="0.3">
      <c r="A15" t="s">
        <v>268</v>
      </c>
      <c r="B15" t="s">
        <v>269</v>
      </c>
      <c r="C15" t="s">
        <v>270</v>
      </c>
      <c r="D15" t="s">
        <v>271</v>
      </c>
      <c r="E15" t="s">
        <v>272</v>
      </c>
    </row>
    <row r="16" spans="1:5" x14ac:dyDescent="0.3">
      <c r="A16" t="s">
        <v>273</v>
      </c>
      <c r="B16" t="s">
        <v>274</v>
      </c>
      <c r="C16" t="s">
        <v>173</v>
      </c>
      <c r="D16" t="s">
        <v>275</v>
      </c>
      <c r="E16" t="s">
        <v>276</v>
      </c>
    </row>
    <row r="17" spans="1:5" x14ac:dyDescent="0.3">
      <c r="A17" t="s">
        <v>277</v>
      </c>
      <c r="B17" t="s">
        <v>173</v>
      </c>
      <c r="C17" t="s">
        <v>274</v>
      </c>
      <c r="D17" t="s">
        <v>889</v>
      </c>
      <c r="E17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DA72-B842-492B-A703-AFCE8612FDB2}">
  <dimension ref="A1:E46"/>
  <sheetViews>
    <sheetView topLeftCell="A9" workbookViewId="0">
      <selection activeCell="B27" sqref="A1:E46"/>
    </sheetView>
  </sheetViews>
  <sheetFormatPr baseColWidth="10" defaultRowHeight="14.4" x14ac:dyDescent="0.3"/>
  <cols>
    <col min="1" max="1" width="29.33203125" customWidth="1"/>
    <col min="2" max="2" width="39.5546875" bestFit="1" customWidth="1"/>
    <col min="3" max="3" width="22.77734375" bestFit="1" customWidth="1"/>
    <col min="4" max="4" width="20.109375" customWidth="1"/>
  </cols>
  <sheetData>
    <row r="1" spans="1:5" x14ac:dyDescent="0.3">
      <c r="A1" t="s">
        <v>278</v>
      </c>
      <c r="B1" t="s">
        <v>850</v>
      </c>
      <c r="C1" t="s">
        <v>851</v>
      </c>
      <c r="D1" t="s">
        <v>15</v>
      </c>
      <c r="E1" t="s">
        <v>13</v>
      </c>
    </row>
    <row r="2" spans="1:5" x14ac:dyDescent="0.3">
      <c r="A2" t="s">
        <v>10</v>
      </c>
      <c r="B2" t="s">
        <v>847</v>
      </c>
      <c r="C2" t="s">
        <v>0</v>
      </c>
      <c r="D2" t="s">
        <v>848</v>
      </c>
      <c r="E2" t="s">
        <v>1</v>
      </c>
    </row>
    <row r="3" spans="1:5" x14ac:dyDescent="0.3">
      <c r="A3" t="s">
        <v>11</v>
      </c>
      <c r="B3" t="s">
        <v>846</v>
      </c>
      <c r="C3" t="s">
        <v>0</v>
      </c>
      <c r="D3" t="s">
        <v>849</v>
      </c>
      <c r="E3" t="s">
        <v>6</v>
      </c>
    </row>
    <row r="4" spans="1:5" x14ac:dyDescent="0.3">
      <c r="A4" t="s">
        <v>12</v>
      </c>
      <c r="B4" t="s">
        <v>845</v>
      </c>
      <c r="C4" t="s">
        <v>0</v>
      </c>
      <c r="D4" t="s">
        <v>8</v>
      </c>
      <c r="E4" t="s">
        <v>279</v>
      </c>
    </row>
    <row r="5" spans="1:5" x14ac:dyDescent="0.3">
      <c r="A5" t="s">
        <v>18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">
      <c r="A6" t="s">
        <v>17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26</v>
      </c>
      <c r="E8" t="s">
        <v>31</v>
      </c>
    </row>
    <row r="9" spans="1:5" x14ac:dyDescent="0.3">
      <c r="A9" t="s">
        <v>852</v>
      </c>
      <c r="B9" t="s">
        <v>305</v>
      </c>
      <c r="C9" t="s">
        <v>306</v>
      </c>
      <c r="D9" t="s">
        <v>307</v>
      </c>
      <c r="E9" t="s">
        <v>310</v>
      </c>
    </row>
    <row r="10" spans="1:5" x14ac:dyDescent="0.3">
      <c r="A10" t="s">
        <v>853</v>
      </c>
      <c r="B10" t="s">
        <v>305</v>
      </c>
      <c r="C10" t="s">
        <v>306</v>
      </c>
      <c r="D10" t="s">
        <v>307</v>
      </c>
      <c r="E10" t="s">
        <v>310</v>
      </c>
    </row>
    <row r="11" spans="1:5" x14ac:dyDescent="0.3">
      <c r="A11" t="s">
        <v>854</v>
      </c>
      <c r="B11" t="s">
        <v>309</v>
      </c>
      <c r="C11" t="s">
        <v>306</v>
      </c>
      <c r="D11" t="s">
        <v>307</v>
      </c>
      <c r="E11" t="s">
        <v>308</v>
      </c>
    </row>
    <row r="12" spans="1:5" x14ac:dyDescent="0.3">
      <c r="A12" t="s">
        <v>32</v>
      </c>
      <c r="B12" t="s">
        <v>33</v>
      </c>
      <c r="C12" t="s">
        <v>34</v>
      </c>
      <c r="D12" t="s">
        <v>120</v>
      </c>
      <c r="E12" t="s">
        <v>131</v>
      </c>
    </row>
    <row r="13" spans="1:5" x14ac:dyDescent="0.3">
      <c r="A13" t="s">
        <v>12</v>
      </c>
      <c r="B13" t="s">
        <v>35</v>
      </c>
      <c r="C13" t="s">
        <v>8</v>
      </c>
      <c r="D13" t="s">
        <v>7</v>
      </c>
      <c r="E13" t="s">
        <v>36</v>
      </c>
    </row>
    <row r="14" spans="1:5" x14ac:dyDescent="0.3">
      <c r="A14" t="s">
        <v>37</v>
      </c>
      <c r="B14" t="s">
        <v>38</v>
      </c>
      <c r="C14" t="s">
        <v>39</v>
      </c>
      <c r="D14" t="s">
        <v>40</v>
      </c>
      <c r="E14" t="s">
        <v>41</v>
      </c>
    </row>
    <row r="15" spans="1:5" x14ac:dyDescent="0.3">
      <c r="A15" t="s">
        <v>37</v>
      </c>
      <c r="B15" t="s">
        <v>42</v>
      </c>
      <c r="C15" t="s">
        <v>39</v>
      </c>
      <c r="D15" t="s">
        <v>40</v>
      </c>
      <c r="E15" t="s">
        <v>41</v>
      </c>
    </row>
    <row r="16" spans="1:5" x14ac:dyDescent="0.3">
      <c r="A16" t="s">
        <v>11</v>
      </c>
      <c r="B16" t="s">
        <v>43</v>
      </c>
      <c r="C16" t="s">
        <v>44</v>
      </c>
      <c r="D16" t="s">
        <v>45</v>
      </c>
      <c r="E16" t="s">
        <v>842</v>
      </c>
    </row>
    <row r="17" spans="1:5" x14ac:dyDescent="0.3">
      <c r="A17" t="s">
        <v>46</v>
      </c>
      <c r="B17" t="s">
        <v>47</v>
      </c>
      <c r="C17" t="s">
        <v>48</v>
      </c>
      <c r="D17" t="s">
        <v>45</v>
      </c>
      <c r="E17" t="s">
        <v>49</v>
      </c>
    </row>
    <row r="18" spans="1:5" x14ac:dyDescent="0.3">
      <c r="A18" t="s">
        <v>50</v>
      </c>
      <c r="B18" t="s">
        <v>51</v>
      </c>
      <c r="C18" t="s">
        <v>52</v>
      </c>
      <c r="D18" t="s">
        <v>280</v>
      </c>
      <c r="E18" t="s">
        <v>3</v>
      </c>
    </row>
    <row r="19" spans="1:5" x14ac:dyDescent="0.3">
      <c r="A19" t="s">
        <v>53</v>
      </c>
      <c r="B19" t="s">
        <v>54</v>
      </c>
      <c r="C19" t="s">
        <v>55</v>
      </c>
      <c r="D19" t="s">
        <v>281</v>
      </c>
      <c r="E19" t="s">
        <v>3</v>
      </c>
    </row>
    <row r="20" spans="1:5" x14ac:dyDescent="0.3">
      <c r="A20" t="s">
        <v>56</v>
      </c>
      <c r="B20" t="s">
        <v>59</v>
      </c>
      <c r="C20" t="s">
        <v>58</v>
      </c>
      <c r="D20" t="s">
        <v>60</v>
      </c>
      <c r="E20" t="s">
        <v>57</v>
      </c>
    </row>
    <row r="21" spans="1:5" x14ac:dyDescent="0.3">
      <c r="A21" t="s">
        <v>61</v>
      </c>
      <c r="B21" t="s">
        <v>62</v>
      </c>
      <c r="C21" t="s">
        <v>63</v>
      </c>
      <c r="D21" t="s">
        <v>64</v>
      </c>
      <c r="E21" t="s">
        <v>0</v>
      </c>
    </row>
    <row r="22" spans="1:5" x14ac:dyDescent="0.3">
      <c r="A22" t="s">
        <v>65</v>
      </c>
      <c r="B22" t="s">
        <v>66</v>
      </c>
      <c r="C22" t="s">
        <v>67</v>
      </c>
      <c r="D22" t="s">
        <v>68</v>
      </c>
      <c r="E22" t="s">
        <v>0</v>
      </c>
    </row>
    <row r="23" spans="1:5" x14ac:dyDescent="0.3">
      <c r="A23" t="s">
        <v>69</v>
      </c>
      <c r="B23" t="s">
        <v>34</v>
      </c>
      <c r="C23" t="s">
        <v>0</v>
      </c>
      <c r="D23" t="s">
        <v>42</v>
      </c>
      <c r="E23" t="s">
        <v>41</v>
      </c>
    </row>
    <row r="24" spans="1:5" x14ac:dyDescent="0.3">
      <c r="A24" t="s">
        <v>70</v>
      </c>
      <c r="B24" t="s">
        <v>71</v>
      </c>
      <c r="C24" t="s">
        <v>72</v>
      </c>
      <c r="D24" t="s">
        <v>73</v>
      </c>
      <c r="E24" t="s">
        <v>74</v>
      </c>
    </row>
    <row r="25" spans="1:5" x14ac:dyDescent="0.3">
      <c r="A25" t="s">
        <v>77</v>
      </c>
      <c r="B25" t="s">
        <v>75</v>
      </c>
      <c r="C25" t="s">
        <v>76</v>
      </c>
      <c r="D25" t="s">
        <v>78</v>
      </c>
      <c r="E25" t="s">
        <v>79</v>
      </c>
    </row>
    <row r="26" spans="1:5" x14ac:dyDescent="0.3">
      <c r="A26" t="s">
        <v>81</v>
      </c>
      <c r="B26">
        <v>0</v>
      </c>
      <c r="C26">
        <v>90</v>
      </c>
      <c r="D26">
        <v>-90</v>
      </c>
      <c r="E26">
        <v>45</v>
      </c>
    </row>
    <row r="27" spans="1:5" x14ac:dyDescent="0.3">
      <c r="A27" t="s">
        <v>80</v>
      </c>
      <c r="B27">
        <v>90</v>
      </c>
      <c r="C27">
        <v>0</v>
      </c>
      <c r="D27">
        <v>-90</v>
      </c>
      <c r="E27">
        <v>45</v>
      </c>
    </row>
    <row r="28" spans="1:5" x14ac:dyDescent="0.3">
      <c r="A28" t="s">
        <v>82</v>
      </c>
      <c r="B28">
        <v>-90</v>
      </c>
      <c r="C28">
        <v>0</v>
      </c>
      <c r="D28">
        <v>90</v>
      </c>
      <c r="E28">
        <v>45</v>
      </c>
    </row>
    <row r="29" spans="1:5" x14ac:dyDescent="0.3">
      <c r="A29" t="s">
        <v>83</v>
      </c>
      <c r="B29" s="1" t="s">
        <v>121</v>
      </c>
      <c r="C29" s="1" t="s">
        <v>122</v>
      </c>
      <c r="D29">
        <v>45</v>
      </c>
      <c r="E29" s="1" t="s">
        <v>123</v>
      </c>
    </row>
    <row r="30" spans="1:5" x14ac:dyDescent="0.3">
      <c r="A30" t="s">
        <v>84</v>
      </c>
      <c r="B30" s="1" t="s">
        <v>844</v>
      </c>
      <c r="C30" t="s">
        <v>855</v>
      </c>
      <c r="D30" s="1" t="s">
        <v>856</v>
      </c>
      <c r="E30" s="1" t="s">
        <v>857</v>
      </c>
    </row>
    <row r="31" spans="1:5" x14ac:dyDescent="0.3">
      <c r="A31" t="s">
        <v>85</v>
      </c>
      <c r="B31" s="1" t="s">
        <v>127</v>
      </c>
      <c r="C31" t="s">
        <v>128</v>
      </c>
      <c r="D31" s="1" t="s">
        <v>129</v>
      </c>
      <c r="E31" s="1" t="s">
        <v>130</v>
      </c>
    </row>
    <row r="32" spans="1:5" x14ac:dyDescent="0.3">
      <c r="A32" t="s">
        <v>843</v>
      </c>
      <c r="B32" t="s">
        <v>118</v>
      </c>
      <c r="C32" s="1" t="s">
        <v>88</v>
      </c>
      <c r="D32" t="s">
        <v>89</v>
      </c>
      <c r="E32" t="s">
        <v>90</v>
      </c>
    </row>
    <row r="33" spans="1:5" x14ac:dyDescent="0.3">
      <c r="A33" t="s">
        <v>86</v>
      </c>
      <c r="B33" t="s">
        <v>119</v>
      </c>
      <c r="C33" s="1" t="s">
        <v>91</v>
      </c>
      <c r="D33" t="s">
        <v>92</v>
      </c>
      <c r="E33" t="s">
        <v>93</v>
      </c>
    </row>
    <row r="34" spans="1:5" x14ac:dyDescent="0.3">
      <c r="A34" t="s">
        <v>87</v>
      </c>
      <c r="B34" t="s">
        <v>117</v>
      </c>
      <c r="C34" s="1" t="s">
        <v>94</v>
      </c>
      <c r="D34" t="s">
        <v>95</v>
      </c>
      <c r="E34" t="s">
        <v>116</v>
      </c>
    </row>
    <row r="35" spans="1:5" x14ac:dyDescent="0.3">
      <c r="A35" t="s">
        <v>282</v>
      </c>
      <c r="B35" t="s">
        <v>291</v>
      </c>
      <c r="C35" t="s">
        <v>292</v>
      </c>
      <c r="D35" t="s">
        <v>293</v>
      </c>
      <c r="E35">
        <v>0</v>
      </c>
    </row>
    <row r="36" spans="1:5" x14ac:dyDescent="0.3">
      <c r="A36" t="s">
        <v>282</v>
      </c>
      <c r="B36" t="s">
        <v>294</v>
      </c>
      <c r="C36" t="s">
        <v>97</v>
      </c>
      <c r="D36" t="s">
        <v>293</v>
      </c>
      <c r="E36">
        <v>0</v>
      </c>
    </row>
    <row r="37" spans="1:5" x14ac:dyDescent="0.3">
      <c r="A37" t="s">
        <v>283</v>
      </c>
      <c r="B37">
        <v>0</v>
      </c>
      <c r="C37" t="s">
        <v>294</v>
      </c>
      <c r="D37" t="s">
        <v>291</v>
      </c>
      <c r="E37" t="s">
        <v>97</v>
      </c>
    </row>
    <row r="38" spans="1:5" x14ac:dyDescent="0.3">
      <c r="A38" t="s">
        <v>284</v>
      </c>
      <c r="B38">
        <v>0</v>
      </c>
      <c r="C38" t="s">
        <v>295</v>
      </c>
      <c r="D38" t="s">
        <v>296</v>
      </c>
      <c r="E38" t="s">
        <v>297</v>
      </c>
    </row>
    <row r="39" spans="1:5" x14ac:dyDescent="0.3">
      <c r="A39" t="s">
        <v>285</v>
      </c>
      <c r="B39" t="s">
        <v>295</v>
      </c>
      <c r="C39" t="s">
        <v>300</v>
      </c>
      <c r="D39">
        <v>0</v>
      </c>
      <c r="E39" t="s">
        <v>303</v>
      </c>
    </row>
    <row r="40" spans="1:5" x14ac:dyDescent="0.3">
      <c r="A40" t="s">
        <v>285</v>
      </c>
      <c r="B40" t="s">
        <v>296</v>
      </c>
      <c r="C40" t="s">
        <v>297</v>
      </c>
      <c r="D40">
        <v>0</v>
      </c>
      <c r="E40" t="s">
        <v>106</v>
      </c>
    </row>
    <row r="41" spans="1:5" x14ac:dyDescent="0.3">
      <c r="A41" t="s">
        <v>286</v>
      </c>
      <c r="B41">
        <v>0</v>
      </c>
      <c r="C41" t="s">
        <v>301</v>
      </c>
      <c r="D41" t="s">
        <v>299</v>
      </c>
      <c r="E41" t="s">
        <v>304</v>
      </c>
    </row>
    <row r="42" spans="1:5" x14ac:dyDescent="0.3">
      <c r="A42" t="s">
        <v>287</v>
      </c>
      <c r="B42" t="s">
        <v>298</v>
      </c>
      <c r="C42" t="s">
        <v>111</v>
      </c>
      <c r="D42" t="s">
        <v>302</v>
      </c>
      <c r="E42" t="s">
        <v>304</v>
      </c>
    </row>
    <row r="43" spans="1:5" x14ac:dyDescent="0.3">
      <c r="A43" t="s">
        <v>287</v>
      </c>
      <c r="B43" t="s">
        <v>299</v>
      </c>
      <c r="C43" t="s">
        <v>112</v>
      </c>
      <c r="D43" t="s">
        <v>302</v>
      </c>
      <c r="E43" t="s">
        <v>304</v>
      </c>
    </row>
    <row r="44" spans="1:5" x14ac:dyDescent="0.3">
      <c r="A44" t="s">
        <v>288</v>
      </c>
      <c r="B44">
        <v>1</v>
      </c>
      <c r="C44">
        <v>0</v>
      </c>
      <c r="D44">
        <v>0.5</v>
      </c>
      <c r="E44">
        <v>0.93</v>
      </c>
    </row>
    <row r="45" spans="1:5" x14ac:dyDescent="0.3">
      <c r="A45" t="s">
        <v>289</v>
      </c>
      <c r="B45">
        <v>0</v>
      </c>
      <c r="C45">
        <v>0.5</v>
      </c>
      <c r="D45">
        <v>0.93</v>
      </c>
      <c r="E45">
        <v>1</v>
      </c>
    </row>
    <row r="46" spans="1:5" x14ac:dyDescent="0.3">
      <c r="A46" t="s">
        <v>290</v>
      </c>
      <c r="B46">
        <v>0</v>
      </c>
      <c r="C46">
        <v>0.5</v>
      </c>
      <c r="D46">
        <v>0.93</v>
      </c>
      <c r="E46">
        <v>1</v>
      </c>
    </row>
  </sheetData>
  <hyperlinks>
    <hyperlink ref="B29" r:id="rId1" display="\\atan(\\frac{L\\omega}{R})" xr:uid="{8AF54CAC-C834-4248-ABBB-8B0FF725227E}"/>
    <hyperlink ref="C29" r:id="rId2" display="\\atan(\\frac{R}{L\\omega})" xr:uid="{98C38E3F-6E26-41AE-ADA0-8903CD9CBCF7}"/>
    <hyperlink ref="E29" r:id="rId3" display="\\atan(\\frac{L}{R})" xr:uid="{3677F51A-BAD9-4E9F-A165-972A9798BD02}"/>
    <hyperlink ref="B30" r:id="rId4" display="\\atan(\\frac{1}{RC\\omega})" xr:uid="{4BE68589-1B7D-4B74-ADAB-8DE612E44D91}"/>
    <hyperlink ref="E30" r:id="rId5" display="\\atan(\\frac{C}{R})" xr:uid="{A2E4C150-7488-4C02-B750-B8FBEADA93AD}"/>
    <hyperlink ref="D30" r:id="rId6" display="\\atan(\\frac{C\\omega}{R})" xr:uid="{8D75C206-65E7-4ECD-A776-EC31AA2ED957}"/>
    <hyperlink ref="B31" r:id="rId7" display="\\atan(\\frac{L\\omega-\\frac{1}{C\\omega}}{R})" xr:uid="{F5C4AC1B-D144-4526-907B-A4F3D156F055}"/>
    <hyperlink ref="E31" r:id="rId8" display="\\atan(\\frac{L\\omega}{CR})" xr:uid="{78C2D143-7960-4F6B-BD6B-336FB6A56C2E}"/>
    <hyperlink ref="D31" r:id="rId9" display="\\atan(\\frac{L+C}{R})" xr:uid="{24696C3E-3435-49BE-ACCF-0B9EED981175}"/>
    <hyperlink ref="C32" r:id="rId10" display="\\atan(\\frac{R}{L\\omega})" xr:uid="{B014C4DB-3986-43F7-9A04-837A2416FA6B}"/>
    <hyperlink ref="C33" r:id="rId11" display="\\atan(\\frac{R}{L\\omega})" xr:uid="{A7743C99-C8D9-4477-A4AE-2BBDE6F24986}"/>
    <hyperlink ref="C34" r:id="rId12" display="\\atan(\\frac{R}{L\\omega})" xr:uid="{E8383710-763A-4CD3-840F-8957FF495D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9D7F-6627-424B-99D1-DA5E4F05551C}">
  <dimension ref="A1:E34"/>
  <sheetViews>
    <sheetView workbookViewId="0">
      <selection activeCell="E22" sqref="A1:E24"/>
    </sheetView>
  </sheetViews>
  <sheetFormatPr baseColWidth="10" defaultRowHeight="14.4" x14ac:dyDescent="0.3"/>
  <cols>
    <col min="1" max="1" width="29.33203125" customWidth="1"/>
    <col min="2" max="2" width="39.5546875" bestFit="1" customWidth="1"/>
    <col min="3" max="3" width="22.77734375" bestFit="1" customWidth="1"/>
    <col min="4" max="4" width="20.109375" customWidth="1"/>
  </cols>
  <sheetData>
    <row r="1" spans="1:5" x14ac:dyDescent="0.3">
      <c r="A1" t="s">
        <v>10</v>
      </c>
      <c r="B1" t="s">
        <v>311</v>
      </c>
      <c r="C1" t="s">
        <v>0</v>
      </c>
      <c r="D1" t="s">
        <v>312</v>
      </c>
      <c r="E1" t="s">
        <v>1</v>
      </c>
    </row>
    <row r="2" spans="1:5" x14ac:dyDescent="0.3">
      <c r="A2" t="s">
        <v>11</v>
      </c>
      <c r="B2" t="s">
        <v>313</v>
      </c>
      <c r="C2" t="s">
        <v>0</v>
      </c>
      <c r="D2" t="s">
        <v>314</v>
      </c>
      <c r="E2" t="s">
        <v>6</v>
      </c>
    </row>
    <row r="3" spans="1:5" x14ac:dyDescent="0.3">
      <c r="A3" t="s">
        <v>12</v>
      </c>
      <c r="B3" t="s">
        <v>0</v>
      </c>
      <c r="C3" t="s">
        <v>7</v>
      </c>
      <c r="D3" t="s">
        <v>8</v>
      </c>
      <c r="E3" t="s">
        <v>312</v>
      </c>
    </row>
    <row r="4" spans="1:5" x14ac:dyDescent="0.3">
      <c r="A4" t="s">
        <v>326</v>
      </c>
      <c r="B4" t="s">
        <v>327</v>
      </c>
      <c r="C4" t="s">
        <v>328</v>
      </c>
      <c r="D4" t="s">
        <v>329</v>
      </c>
      <c r="E4" t="s">
        <v>330</v>
      </c>
    </row>
    <row r="5" spans="1:5" x14ac:dyDescent="0.3">
      <c r="A5" t="s">
        <v>18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">
      <c r="A6" t="s">
        <v>17</v>
      </c>
      <c r="B6" t="s">
        <v>858</v>
      </c>
      <c r="C6" t="s">
        <v>20</v>
      </c>
      <c r="D6" t="s">
        <v>19</v>
      </c>
      <c r="E6" t="s">
        <v>22</v>
      </c>
    </row>
    <row r="7" spans="1:5" x14ac:dyDescent="0.3">
      <c r="A7" t="s">
        <v>321</v>
      </c>
      <c r="B7" t="s">
        <v>323</v>
      </c>
      <c r="C7" t="s">
        <v>322</v>
      </c>
      <c r="D7" t="s">
        <v>325</v>
      </c>
      <c r="E7" t="s">
        <v>324</v>
      </c>
    </row>
    <row r="8" spans="1:5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3">
      <c r="A9" t="s">
        <v>28</v>
      </c>
      <c r="B9" t="s">
        <v>29</v>
      </c>
      <c r="C9" t="s">
        <v>30</v>
      </c>
      <c r="D9" t="s">
        <v>26</v>
      </c>
      <c r="E9" t="s">
        <v>31</v>
      </c>
    </row>
    <row r="10" spans="1:5" x14ac:dyDescent="0.3">
      <c r="A10" t="s">
        <v>32</v>
      </c>
      <c r="B10" t="s">
        <v>860</v>
      </c>
      <c r="C10" t="s">
        <v>34</v>
      </c>
      <c r="D10" t="s">
        <v>120</v>
      </c>
      <c r="E10" t="s">
        <v>859</v>
      </c>
    </row>
    <row r="11" spans="1:5" x14ac:dyDescent="0.3">
      <c r="A11" t="s">
        <v>12</v>
      </c>
      <c r="B11" t="s">
        <v>315</v>
      </c>
      <c r="C11" t="s">
        <v>8</v>
      </c>
      <c r="D11" t="s">
        <v>35</v>
      </c>
      <c r="E11" t="s">
        <v>36</v>
      </c>
    </row>
    <row r="12" spans="1:5" x14ac:dyDescent="0.3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3">
      <c r="A13" t="s">
        <v>316</v>
      </c>
      <c r="B13" t="s">
        <v>317</v>
      </c>
      <c r="C13" t="s">
        <v>319</v>
      </c>
      <c r="D13" t="s">
        <v>318</v>
      </c>
      <c r="E13" t="s">
        <v>320</v>
      </c>
    </row>
    <row r="14" spans="1:5" x14ac:dyDescent="0.3">
      <c r="A14" t="s">
        <v>331</v>
      </c>
      <c r="B14" t="s">
        <v>332</v>
      </c>
      <c r="C14" t="s">
        <v>38</v>
      </c>
      <c r="D14" t="s">
        <v>39</v>
      </c>
      <c r="E14" s="1" t="s">
        <v>333</v>
      </c>
    </row>
    <row r="15" spans="1:5" x14ac:dyDescent="0.3">
      <c r="A15" t="s">
        <v>11</v>
      </c>
      <c r="B15" t="s">
        <v>43</v>
      </c>
      <c r="C15" t="s">
        <v>44</v>
      </c>
      <c r="D15" t="s">
        <v>45</v>
      </c>
      <c r="E15" t="s">
        <v>842</v>
      </c>
    </row>
    <row r="16" spans="1:5" x14ac:dyDescent="0.3">
      <c r="A16" t="s">
        <v>46</v>
      </c>
      <c r="B16" t="s">
        <v>47</v>
      </c>
      <c r="C16" t="s">
        <v>48</v>
      </c>
      <c r="D16" t="s">
        <v>45</v>
      </c>
      <c r="E16" t="s">
        <v>49</v>
      </c>
    </row>
    <row r="17" spans="1:5" x14ac:dyDescent="0.3">
      <c r="A17" t="s">
        <v>50</v>
      </c>
      <c r="B17" t="s">
        <v>51</v>
      </c>
      <c r="C17" t="s">
        <v>52</v>
      </c>
      <c r="D17" t="s">
        <v>0</v>
      </c>
      <c r="E17" t="s">
        <v>3</v>
      </c>
    </row>
    <row r="18" spans="1:5" x14ac:dyDescent="0.3">
      <c r="A18" t="s">
        <v>53</v>
      </c>
      <c r="B18" t="s">
        <v>54</v>
      </c>
      <c r="C18" t="s">
        <v>55</v>
      </c>
      <c r="D18" t="s">
        <v>0</v>
      </c>
      <c r="E18" t="s">
        <v>3</v>
      </c>
    </row>
    <row r="19" spans="1:5" x14ac:dyDescent="0.3">
      <c r="A19" t="s">
        <v>336</v>
      </c>
      <c r="B19" t="s">
        <v>337</v>
      </c>
      <c r="C19" t="s">
        <v>338</v>
      </c>
      <c r="D19" t="s">
        <v>339</v>
      </c>
      <c r="E19" t="s">
        <v>0</v>
      </c>
    </row>
    <row r="20" spans="1:5" x14ac:dyDescent="0.3">
      <c r="A20" t="s">
        <v>56</v>
      </c>
      <c r="B20" t="s">
        <v>334</v>
      </c>
      <c r="C20" t="s">
        <v>58</v>
      </c>
      <c r="D20" t="s">
        <v>335</v>
      </c>
      <c r="E20" t="s">
        <v>57</v>
      </c>
    </row>
    <row r="21" spans="1:5" x14ac:dyDescent="0.3">
      <c r="A21" t="s">
        <v>340</v>
      </c>
      <c r="B21" t="s">
        <v>342</v>
      </c>
      <c r="C21" t="s">
        <v>343</v>
      </c>
      <c r="D21" t="s">
        <v>344</v>
      </c>
      <c r="E21" t="s">
        <v>345</v>
      </c>
    </row>
    <row r="22" spans="1:5" x14ac:dyDescent="0.3">
      <c r="A22" t="s">
        <v>340</v>
      </c>
      <c r="B22" t="s">
        <v>861</v>
      </c>
      <c r="C22" t="s">
        <v>343</v>
      </c>
      <c r="D22" t="s">
        <v>346</v>
      </c>
      <c r="E22" t="s">
        <v>345</v>
      </c>
    </row>
    <row r="23" spans="1:5" x14ac:dyDescent="0.3">
      <c r="A23" t="s">
        <v>341</v>
      </c>
      <c r="B23" t="s">
        <v>347</v>
      </c>
      <c r="C23" t="s">
        <v>348</v>
      </c>
      <c r="D23" t="s">
        <v>349</v>
      </c>
      <c r="E23" t="s">
        <v>19</v>
      </c>
    </row>
    <row r="24" spans="1:5" x14ac:dyDescent="0.3">
      <c r="A24" t="s">
        <v>350</v>
      </c>
      <c r="B24" t="s">
        <v>351</v>
      </c>
      <c r="C24" t="s">
        <v>352</v>
      </c>
      <c r="D24" t="s">
        <v>353</v>
      </c>
      <c r="E24" t="s">
        <v>354</v>
      </c>
    </row>
    <row r="29" spans="1:5" x14ac:dyDescent="0.3">
      <c r="B29" s="1"/>
      <c r="C29" s="1"/>
      <c r="E29" s="1"/>
    </row>
    <row r="30" spans="1:5" x14ac:dyDescent="0.3">
      <c r="B30" s="1"/>
      <c r="D30" s="1"/>
      <c r="E30" s="1"/>
    </row>
    <row r="31" spans="1:5" x14ac:dyDescent="0.3">
      <c r="B31" s="1"/>
      <c r="D31" s="1"/>
      <c r="E31" s="1"/>
    </row>
    <row r="32" spans="1:5" x14ac:dyDescent="0.3">
      <c r="C32" s="1"/>
    </row>
    <row r="33" spans="3:3" x14ac:dyDescent="0.3">
      <c r="C33" s="1"/>
    </row>
    <row r="34" spans="3:3" x14ac:dyDescent="0.3">
      <c r="C34" s="1"/>
    </row>
  </sheetData>
  <hyperlinks>
    <hyperlink ref="E14" r:id="rId1" xr:uid="{C8812B5D-8B24-4AD5-8F05-066C699C2A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9279-0741-45B2-95DF-8087870757BD}">
  <dimension ref="A1:E34"/>
  <sheetViews>
    <sheetView workbookViewId="0">
      <selection activeCell="B22" sqref="A1:XFD1048576"/>
    </sheetView>
  </sheetViews>
  <sheetFormatPr baseColWidth="10" defaultRowHeight="14.4" x14ac:dyDescent="0.3"/>
  <cols>
    <col min="1" max="1" width="29.33203125" customWidth="1"/>
    <col min="2" max="2" width="24.5546875" customWidth="1"/>
    <col min="3" max="3" width="22.77734375" bestFit="1" customWidth="1"/>
    <col min="4" max="4" width="20.109375" customWidth="1"/>
  </cols>
  <sheetData>
    <row r="1" spans="1:5" x14ac:dyDescent="0.3">
      <c r="A1" t="s">
        <v>355</v>
      </c>
      <c r="B1" t="s">
        <v>356</v>
      </c>
      <c r="C1" t="s">
        <v>357</v>
      </c>
      <c r="D1" t="s">
        <v>358</v>
      </c>
      <c r="E1" t="s">
        <v>359</v>
      </c>
    </row>
    <row r="2" spans="1:5" x14ac:dyDescent="0.3">
      <c r="A2" t="s">
        <v>360</v>
      </c>
      <c r="B2" t="s">
        <v>361</v>
      </c>
      <c r="C2" t="s">
        <v>362</v>
      </c>
      <c r="D2" t="s">
        <v>363</v>
      </c>
      <c r="E2" t="s">
        <v>364</v>
      </c>
    </row>
    <row r="3" spans="1:5" x14ac:dyDescent="0.3">
      <c r="A3" t="s">
        <v>365</v>
      </c>
      <c r="B3" t="s">
        <v>362</v>
      </c>
      <c r="C3" t="s">
        <v>363</v>
      </c>
      <c r="D3" t="s">
        <v>361</v>
      </c>
      <c r="E3" t="s">
        <v>364</v>
      </c>
    </row>
    <row r="4" spans="1:5" x14ac:dyDescent="0.3">
      <c r="A4" t="s">
        <v>366</v>
      </c>
      <c r="B4" t="s">
        <v>367</v>
      </c>
      <c r="C4" t="s">
        <v>368</v>
      </c>
      <c r="D4" t="s">
        <v>369</v>
      </c>
      <c r="E4" t="s">
        <v>370</v>
      </c>
    </row>
    <row r="5" spans="1:5" x14ac:dyDescent="0.3">
      <c r="A5" t="s">
        <v>366</v>
      </c>
      <c r="B5" t="s">
        <v>371</v>
      </c>
      <c r="C5" t="s">
        <v>378</v>
      </c>
      <c r="D5" t="s">
        <v>379</v>
      </c>
      <c r="E5" t="s">
        <v>372</v>
      </c>
    </row>
    <row r="6" spans="1:5" x14ac:dyDescent="0.3">
      <c r="A6" t="s">
        <v>373</v>
      </c>
      <c r="B6" t="s">
        <v>374</v>
      </c>
      <c r="C6" t="s">
        <v>380</v>
      </c>
      <c r="D6" t="s">
        <v>381</v>
      </c>
      <c r="E6" t="s">
        <v>375</v>
      </c>
    </row>
    <row r="7" spans="1:5" x14ac:dyDescent="0.3">
      <c r="A7" t="s">
        <v>410</v>
      </c>
      <c r="B7" t="s">
        <v>368</v>
      </c>
      <c r="C7" t="s">
        <v>367</v>
      </c>
      <c r="D7" t="s">
        <v>369</v>
      </c>
      <c r="E7" t="s">
        <v>370</v>
      </c>
    </row>
    <row r="8" spans="1:5" x14ac:dyDescent="0.3">
      <c r="A8" t="s">
        <v>410</v>
      </c>
      <c r="B8" t="s">
        <v>377</v>
      </c>
      <c r="C8" t="s">
        <v>382</v>
      </c>
      <c r="D8" t="s">
        <v>384</v>
      </c>
      <c r="E8" t="s">
        <v>383</v>
      </c>
    </row>
    <row r="9" spans="1:5" x14ac:dyDescent="0.3">
      <c r="A9" t="s">
        <v>385</v>
      </c>
      <c r="B9" t="s">
        <v>386</v>
      </c>
      <c r="C9" t="s">
        <v>387</v>
      </c>
      <c r="D9" t="s">
        <v>388</v>
      </c>
      <c r="E9" t="s">
        <v>389</v>
      </c>
    </row>
    <row r="10" spans="1:5" x14ac:dyDescent="0.3">
      <c r="A10" t="s">
        <v>390</v>
      </c>
      <c r="B10" t="s">
        <v>393</v>
      </c>
      <c r="C10" t="s">
        <v>391</v>
      </c>
      <c r="D10" t="s">
        <v>392</v>
      </c>
      <c r="E10" t="s">
        <v>394</v>
      </c>
    </row>
    <row r="11" spans="1:5" x14ac:dyDescent="0.3">
      <c r="A11" t="s">
        <v>395</v>
      </c>
      <c r="B11" t="s">
        <v>394</v>
      </c>
      <c r="C11" t="s">
        <v>391</v>
      </c>
      <c r="D11" t="s">
        <v>392</v>
      </c>
      <c r="E11" t="s">
        <v>393</v>
      </c>
    </row>
    <row r="12" spans="1:5" x14ac:dyDescent="0.3">
      <c r="A12" t="s">
        <v>395</v>
      </c>
      <c r="B12" t="s">
        <v>396</v>
      </c>
      <c r="C12" t="s">
        <v>397</v>
      </c>
      <c r="D12" t="s">
        <v>398</v>
      </c>
      <c r="E12" t="s">
        <v>399</v>
      </c>
    </row>
    <row r="13" spans="1:5" x14ac:dyDescent="0.3">
      <c r="A13" t="s">
        <v>376</v>
      </c>
      <c r="B13" t="s">
        <v>400</v>
      </c>
      <c r="C13" t="s">
        <v>401</v>
      </c>
      <c r="D13" t="s">
        <v>862</v>
      </c>
      <c r="E13" t="s">
        <v>402</v>
      </c>
    </row>
    <row r="14" spans="1:5" x14ac:dyDescent="0.3">
      <c r="A14" t="s">
        <v>403</v>
      </c>
      <c r="B14" t="s">
        <v>404</v>
      </c>
      <c r="C14" t="s">
        <v>405</v>
      </c>
      <c r="D14" t="s">
        <v>406</v>
      </c>
      <c r="E14" s="1" t="s">
        <v>407</v>
      </c>
    </row>
    <row r="15" spans="1:5" x14ac:dyDescent="0.3">
      <c r="A15" t="s">
        <v>408</v>
      </c>
      <c r="B15" s="1" t="s">
        <v>407</v>
      </c>
      <c r="C15" t="s">
        <v>404</v>
      </c>
      <c r="D15" t="s">
        <v>405</v>
      </c>
      <c r="E15" t="s">
        <v>409</v>
      </c>
    </row>
    <row r="16" spans="1:5" x14ac:dyDescent="0.3">
      <c r="A16" t="s">
        <v>376</v>
      </c>
      <c r="B16" t="s">
        <v>411</v>
      </c>
      <c r="C16" t="s">
        <v>412</v>
      </c>
      <c r="D16" t="s">
        <v>413</v>
      </c>
      <c r="E16" t="s">
        <v>414</v>
      </c>
    </row>
    <row r="17" spans="1:5" x14ac:dyDescent="0.3">
      <c r="A17" t="s">
        <v>408</v>
      </c>
      <c r="B17" t="s">
        <v>415</v>
      </c>
      <c r="C17" t="s">
        <v>416</v>
      </c>
      <c r="D17" t="s">
        <v>417</v>
      </c>
      <c r="E17" t="s">
        <v>418</v>
      </c>
    </row>
    <row r="18" spans="1:5" x14ac:dyDescent="0.3">
      <c r="A18" t="s">
        <v>419</v>
      </c>
      <c r="B18" t="s">
        <v>420</v>
      </c>
      <c r="C18" t="s">
        <v>421</v>
      </c>
      <c r="D18" t="s">
        <v>422</v>
      </c>
      <c r="E18" t="s">
        <v>423</v>
      </c>
    </row>
    <row r="19" spans="1:5" x14ac:dyDescent="0.3">
      <c r="A19" t="s">
        <v>424</v>
      </c>
      <c r="B19" t="s">
        <v>425</v>
      </c>
      <c r="C19" t="s">
        <v>426</v>
      </c>
      <c r="D19" t="s">
        <v>427</v>
      </c>
      <c r="E19" t="s">
        <v>428</v>
      </c>
    </row>
    <row r="20" spans="1:5" x14ac:dyDescent="0.3">
      <c r="A20" t="s">
        <v>429</v>
      </c>
      <c r="B20" t="s">
        <v>133</v>
      </c>
      <c r="C20" t="s">
        <v>134</v>
      </c>
      <c r="D20" t="s">
        <v>430</v>
      </c>
      <c r="E20" t="s">
        <v>431</v>
      </c>
    </row>
    <row r="22" spans="1:5" x14ac:dyDescent="0.3">
      <c r="E22" s="1"/>
    </row>
    <row r="29" spans="1:5" x14ac:dyDescent="0.3">
      <c r="B29" s="1"/>
      <c r="C29" s="1"/>
      <c r="E29" s="1"/>
    </row>
    <row r="30" spans="1:5" x14ac:dyDescent="0.3">
      <c r="B30" s="1"/>
      <c r="D30" s="1"/>
      <c r="E30" s="1"/>
    </row>
    <row r="31" spans="1:5" x14ac:dyDescent="0.3">
      <c r="B31" s="1"/>
      <c r="D31" s="1"/>
      <c r="E31" s="1"/>
    </row>
    <row r="32" spans="1:5" x14ac:dyDescent="0.3">
      <c r="C32" s="1"/>
    </row>
    <row r="33" spans="3:3" x14ac:dyDescent="0.3">
      <c r="C33" s="1"/>
    </row>
    <row r="34" spans="3:3" x14ac:dyDescent="0.3">
      <c r="C3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2F8C-8310-4E98-B7DA-C401EB6B1BC7}">
  <dimension ref="A1:E38"/>
  <sheetViews>
    <sheetView workbookViewId="0">
      <selection activeCell="D16" sqref="A1:E24"/>
    </sheetView>
  </sheetViews>
  <sheetFormatPr baseColWidth="10" defaultRowHeight="14.4" x14ac:dyDescent="0.3"/>
  <cols>
    <col min="1" max="1" width="29.33203125" customWidth="1"/>
    <col min="2" max="2" width="24.5546875" customWidth="1"/>
    <col min="3" max="3" width="22.77734375" bestFit="1" customWidth="1"/>
    <col min="4" max="4" width="20.109375" customWidth="1"/>
  </cols>
  <sheetData>
    <row r="1" spans="1:5" x14ac:dyDescent="0.3">
      <c r="A1" t="s">
        <v>355</v>
      </c>
      <c r="B1" t="s">
        <v>432</v>
      </c>
      <c r="C1" t="s">
        <v>433</v>
      </c>
      <c r="D1" t="s">
        <v>434</v>
      </c>
      <c r="E1" t="s">
        <v>863</v>
      </c>
    </row>
    <row r="2" spans="1:5" x14ac:dyDescent="0.3">
      <c r="A2" t="s">
        <v>355</v>
      </c>
      <c r="B2" t="s">
        <v>436</v>
      </c>
      <c r="C2" t="s">
        <v>433</v>
      </c>
      <c r="D2" t="s">
        <v>435</v>
      </c>
      <c r="E2" t="s">
        <v>863</v>
      </c>
    </row>
    <row r="3" spans="1:5" x14ac:dyDescent="0.3">
      <c r="A3" t="s">
        <v>360</v>
      </c>
      <c r="B3" t="s">
        <v>443</v>
      </c>
      <c r="C3" t="s">
        <v>442</v>
      </c>
      <c r="D3" t="s">
        <v>441</v>
      </c>
      <c r="E3" t="s">
        <v>444</v>
      </c>
    </row>
    <row r="4" spans="1:5" x14ac:dyDescent="0.3">
      <c r="A4" t="s">
        <v>360</v>
      </c>
      <c r="B4" t="s">
        <v>438</v>
      </c>
      <c r="C4" t="s">
        <v>439</v>
      </c>
      <c r="D4" t="s">
        <v>437</v>
      </c>
      <c r="E4" t="s">
        <v>440</v>
      </c>
    </row>
    <row r="5" spans="1:5" x14ac:dyDescent="0.3">
      <c r="A5" t="s">
        <v>365</v>
      </c>
      <c r="B5" t="s">
        <v>442</v>
      </c>
      <c r="C5" t="s">
        <v>443</v>
      </c>
      <c r="D5" t="s">
        <v>441</v>
      </c>
      <c r="E5" t="s">
        <v>444</v>
      </c>
    </row>
    <row r="6" spans="1:5" x14ac:dyDescent="0.3">
      <c r="A6" t="s">
        <v>365</v>
      </c>
      <c r="B6" t="s">
        <v>439</v>
      </c>
      <c r="C6" t="s">
        <v>438</v>
      </c>
      <c r="D6" t="s">
        <v>437</v>
      </c>
      <c r="E6" t="s">
        <v>440</v>
      </c>
    </row>
    <row r="7" spans="1:5" x14ac:dyDescent="0.3">
      <c r="A7" t="s">
        <v>366</v>
      </c>
      <c r="B7" t="s">
        <v>367</v>
      </c>
      <c r="C7" t="s">
        <v>368</v>
      </c>
      <c r="D7" t="s">
        <v>369</v>
      </c>
      <c r="E7" t="s">
        <v>370</v>
      </c>
    </row>
    <row r="8" spans="1:5" x14ac:dyDescent="0.3">
      <c r="A8" t="s">
        <v>366</v>
      </c>
      <c r="B8" t="s">
        <v>447</v>
      </c>
      <c r="C8" t="s">
        <v>449</v>
      </c>
      <c r="D8" t="s">
        <v>451</v>
      </c>
      <c r="E8" t="s">
        <v>454</v>
      </c>
    </row>
    <row r="9" spans="1:5" x14ac:dyDescent="0.3">
      <c r="A9" t="s">
        <v>373</v>
      </c>
      <c r="B9" t="s">
        <v>448</v>
      </c>
      <c r="C9" t="s">
        <v>450</v>
      </c>
      <c r="D9" t="s">
        <v>452</v>
      </c>
      <c r="E9" t="s">
        <v>453</v>
      </c>
    </row>
    <row r="10" spans="1:5" x14ac:dyDescent="0.3">
      <c r="A10" t="s">
        <v>410</v>
      </c>
      <c r="B10" t="s">
        <v>368</v>
      </c>
      <c r="C10" t="s">
        <v>367</v>
      </c>
      <c r="D10" t="s">
        <v>369</v>
      </c>
      <c r="E10" t="s">
        <v>370</v>
      </c>
    </row>
    <row r="11" spans="1:5" x14ac:dyDescent="0.3">
      <c r="A11" t="s">
        <v>410</v>
      </c>
      <c r="B11" t="s">
        <v>455</v>
      </c>
      <c r="C11" t="s">
        <v>456</v>
      </c>
      <c r="D11" t="s">
        <v>457</v>
      </c>
      <c r="E11" t="s">
        <v>458</v>
      </c>
    </row>
    <row r="12" spans="1:5" x14ac:dyDescent="0.3">
      <c r="A12" t="s">
        <v>385</v>
      </c>
      <c r="B12" t="s">
        <v>462</v>
      </c>
      <c r="C12" t="s">
        <v>461</v>
      </c>
      <c r="D12" t="s">
        <v>460</v>
      </c>
      <c r="E12" t="s">
        <v>459</v>
      </c>
    </row>
    <row r="13" spans="1:5" x14ac:dyDescent="0.3">
      <c r="A13" t="s">
        <v>390</v>
      </c>
      <c r="B13" t="s">
        <v>463</v>
      </c>
      <c r="C13" t="s">
        <v>464</v>
      </c>
      <c r="D13" t="s">
        <v>466</v>
      </c>
      <c r="E13" t="s">
        <v>465</v>
      </c>
    </row>
    <row r="14" spans="1:5" x14ac:dyDescent="0.3">
      <c r="A14" t="s">
        <v>395</v>
      </c>
      <c r="B14" t="s">
        <v>465</v>
      </c>
      <c r="C14" t="s">
        <v>464</v>
      </c>
      <c r="D14" t="s">
        <v>466</v>
      </c>
      <c r="E14" t="s">
        <v>463</v>
      </c>
    </row>
    <row r="15" spans="1:5" x14ac:dyDescent="0.3">
      <c r="A15" t="s">
        <v>395</v>
      </c>
      <c r="B15" t="s">
        <v>396</v>
      </c>
      <c r="C15" t="s">
        <v>446</v>
      </c>
      <c r="D15" t="s">
        <v>398</v>
      </c>
      <c r="E15" t="s">
        <v>399</v>
      </c>
    </row>
    <row r="16" spans="1:5" x14ac:dyDescent="0.3">
      <c r="A16" t="s">
        <v>376</v>
      </c>
      <c r="B16" t="s">
        <v>467</v>
      </c>
      <c r="C16" t="s">
        <v>468</v>
      </c>
      <c r="D16" t="s">
        <v>864</v>
      </c>
      <c r="E16" t="s">
        <v>469</v>
      </c>
    </row>
    <row r="17" spans="1:5" x14ac:dyDescent="0.3">
      <c r="A17" t="s">
        <v>403</v>
      </c>
      <c r="B17" t="s">
        <v>404</v>
      </c>
      <c r="C17" t="s">
        <v>445</v>
      </c>
      <c r="D17" t="s">
        <v>406</v>
      </c>
      <c r="E17" s="1" t="s">
        <v>407</v>
      </c>
    </row>
    <row r="18" spans="1:5" x14ac:dyDescent="0.3">
      <c r="A18" t="s">
        <v>408</v>
      </c>
      <c r="B18" s="1" t="s">
        <v>407</v>
      </c>
      <c r="C18" t="s">
        <v>404</v>
      </c>
      <c r="D18" t="s">
        <v>405</v>
      </c>
      <c r="E18" t="s">
        <v>409</v>
      </c>
    </row>
    <row r="19" spans="1:5" x14ac:dyDescent="0.3">
      <c r="A19" t="s">
        <v>376</v>
      </c>
      <c r="B19" t="s">
        <v>470</v>
      </c>
      <c r="C19" t="s">
        <v>471</v>
      </c>
      <c r="D19" t="s">
        <v>472</v>
      </c>
      <c r="E19" t="s">
        <v>473</v>
      </c>
    </row>
    <row r="20" spans="1:5" x14ac:dyDescent="0.3">
      <c r="A20" t="s">
        <v>408</v>
      </c>
      <c r="B20" t="s">
        <v>474</v>
      </c>
      <c r="C20" t="s">
        <v>475</v>
      </c>
      <c r="D20" t="s">
        <v>476</v>
      </c>
      <c r="E20" t="s">
        <v>477</v>
      </c>
    </row>
    <row r="21" spans="1:5" x14ac:dyDescent="0.3">
      <c r="A21" t="s">
        <v>419</v>
      </c>
      <c r="B21" t="s">
        <v>478</v>
      </c>
      <c r="C21" t="s">
        <v>481</v>
      </c>
      <c r="D21" t="s">
        <v>479</v>
      </c>
      <c r="E21" t="s">
        <v>480</v>
      </c>
    </row>
    <row r="22" spans="1:5" x14ac:dyDescent="0.3">
      <c r="A22" t="s">
        <v>424</v>
      </c>
      <c r="B22" t="s">
        <v>482</v>
      </c>
      <c r="C22" t="s">
        <v>484</v>
      </c>
      <c r="D22" t="s">
        <v>483</v>
      </c>
      <c r="E22" t="s">
        <v>486</v>
      </c>
    </row>
    <row r="23" spans="1:5" x14ac:dyDescent="0.3">
      <c r="A23" t="s">
        <v>488</v>
      </c>
      <c r="B23" t="s">
        <v>483</v>
      </c>
      <c r="C23" t="s">
        <v>484</v>
      </c>
      <c r="D23" t="s">
        <v>485</v>
      </c>
      <c r="E23" t="s">
        <v>486</v>
      </c>
    </row>
    <row r="24" spans="1:5" x14ac:dyDescent="0.3">
      <c r="A24" t="s">
        <v>429</v>
      </c>
      <c r="B24" t="s">
        <v>133</v>
      </c>
      <c r="C24" t="s">
        <v>134</v>
      </c>
      <c r="D24" t="s">
        <v>487</v>
      </c>
      <c r="E24" t="s">
        <v>431</v>
      </c>
    </row>
    <row r="26" spans="1:5" x14ac:dyDescent="0.3">
      <c r="E26" s="1"/>
    </row>
    <row r="33" spans="2:5" x14ac:dyDescent="0.3">
      <c r="B33" s="1"/>
      <c r="C33" s="1"/>
      <c r="E33" s="1"/>
    </row>
    <row r="34" spans="2:5" x14ac:dyDescent="0.3">
      <c r="B34" s="1"/>
      <c r="D34" s="1"/>
      <c r="E34" s="1"/>
    </row>
    <row r="35" spans="2:5" x14ac:dyDescent="0.3">
      <c r="B35" s="1"/>
      <c r="D35" s="1"/>
      <c r="E35" s="1"/>
    </row>
    <row r="36" spans="2:5" x14ac:dyDescent="0.3">
      <c r="C36" s="1"/>
    </row>
    <row r="37" spans="2:5" x14ac:dyDescent="0.3">
      <c r="C37" s="1"/>
    </row>
    <row r="38" spans="2:5" x14ac:dyDescent="0.3">
      <c r="C3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02D-DC56-4A89-98F7-42A234EB60C7}">
  <dimension ref="A1:E14"/>
  <sheetViews>
    <sheetView workbookViewId="0">
      <selection activeCell="F13" sqref="A1:XFD1048576"/>
    </sheetView>
  </sheetViews>
  <sheetFormatPr baseColWidth="10" defaultRowHeight="14.4" x14ac:dyDescent="0.3"/>
  <cols>
    <col min="1" max="1" width="25.109375" bestFit="1" customWidth="1"/>
  </cols>
  <sheetData>
    <row r="1" spans="1:5" x14ac:dyDescent="0.3">
      <c r="A1" t="s">
        <v>536</v>
      </c>
      <c r="B1" t="s">
        <v>489</v>
      </c>
      <c r="C1" t="s">
        <v>490</v>
      </c>
      <c r="D1" t="s">
        <v>491</v>
      </c>
      <c r="E1" t="s">
        <v>492</v>
      </c>
    </row>
    <row r="2" spans="1:5" x14ac:dyDescent="0.3">
      <c r="A2" t="s">
        <v>493</v>
      </c>
      <c r="B2" t="s">
        <v>494</v>
      </c>
      <c r="C2" t="s">
        <v>495</v>
      </c>
      <c r="D2" t="s">
        <v>496</v>
      </c>
      <c r="E2" t="s">
        <v>497</v>
      </c>
    </row>
    <row r="3" spans="1:5" x14ac:dyDescent="0.3">
      <c r="A3" t="s">
        <v>498</v>
      </c>
      <c r="B3" t="s">
        <v>508</v>
      </c>
      <c r="C3" t="s">
        <v>502</v>
      </c>
      <c r="D3" t="s">
        <v>499</v>
      </c>
      <c r="E3" t="s">
        <v>500</v>
      </c>
    </row>
    <row r="4" spans="1:5" x14ac:dyDescent="0.3">
      <c r="A4" t="s">
        <v>501</v>
      </c>
      <c r="B4" t="s">
        <v>502</v>
      </c>
      <c r="C4" t="s">
        <v>508</v>
      </c>
      <c r="D4" t="s">
        <v>503</v>
      </c>
      <c r="E4" t="s">
        <v>504</v>
      </c>
    </row>
    <row r="5" spans="1:5" x14ac:dyDescent="0.3">
      <c r="A5" t="s">
        <v>505</v>
      </c>
      <c r="B5" t="s">
        <v>506</v>
      </c>
      <c r="C5" t="s">
        <v>507</v>
      </c>
      <c r="D5" t="s">
        <v>508</v>
      </c>
      <c r="E5" t="s">
        <v>509</v>
      </c>
    </row>
    <row r="6" spans="1:5" x14ac:dyDescent="0.3">
      <c r="A6" s="1" t="s">
        <v>510</v>
      </c>
      <c r="B6" t="s">
        <v>511</v>
      </c>
      <c r="C6" t="s">
        <v>512</v>
      </c>
      <c r="D6" t="s">
        <v>513</v>
      </c>
      <c r="E6" t="s">
        <v>514</v>
      </c>
    </row>
    <row r="7" spans="1:5" x14ac:dyDescent="0.3">
      <c r="A7" t="s">
        <v>865</v>
      </c>
      <c r="B7" s="1" t="s">
        <v>866</v>
      </c>
      <c r="C7" t="s">
        <v>516</v>
      </c>
      <c r="D7" t="s">
        <v>517</v>
      </c>
      <c r="E7" s="1" t="s">
        <v>518</v>
      </c>
    </row>
    <row r="8" spans="1:5" x14ac:dyDescent="0.3">
      <c r="A8" t="s">
        <v>524</v>
      </c>
      <c r="B8" t="s">
        <v>519</v>
      </c>
      <c r="C8" t="s">
        <v>520</v>
      </c>
      <c r="D8" t="s">
        <v>521</v>
      </c>
      <c r="E8" t="s">
        <v>522</v>
      </c>
    </row>
    <row r="9" spans="1:5" x14ac:dyDescent="0.3">
      <c r="A9" t="s">
        <v>523</v>
      </c>
      <c r="B9" t="s">
        <v>521</v>
      </c>
      <c r="C9" t="s">
        <v>520</v>
      </c>
      <c r="D9" t="s">
        <v>519</v>
      </c>
      <c r="E9" t="s">
        <v>522</v>
      </c>
    </row>
    <row r="10" spans="1:5" x14ac:dyDescent="0.3">
      <c r="A10" t="s">
        <v>525</v>
      </c>
      <c r="B10" t="s">
        <v>522</v>
      </c>
      <c r="C10" t="s">
        <v>521</v>
      </c>
      <c r="D10" t="s">
        <v>519</v>
      </c>
      <c r="E10" t="s">
        <v>495</v>
      </c>
    </row>
    <row r="11" spans="1:5" x14ac:dyDescent="0.3">
      <c r="A11" t="s">
        <v>526</v>
      </c>
      <c r="B11" t="s">
        <v>527</v>
      </c>
      <c r="C11" t="s">
        <v>531</v>
      </c>
      <c r="D11" t="s">
        <v>528</v>
      </c>
      <c r="E11" t="s">
        <v>529</v>
      </c>
    </row>
    <row r="12" spans="1:5" x14ac:dyDescent="0.3">
      <c r="A12" t="s">
        <v>530</v>
      </c>
      <c r="B12" t="s">
        <v>531</v>
      </c>
      <c r="C12" t="s">
        <v>515</v>
      </c>
      <c r="D12" t="s">
        <v>532</v>
      </c>
      <c r="E12" t="s">
        <v>521</v>
      </c>
    </row>
    <row r="13" spans="1:5" x14ac:dyDescent="0.3">
      <c r="A13" t="s">
        <v>533</v>
      </c>
      <c r="B13" t="s">
        <v>534</v>
      </c>
      <c r="C13" t="s">
        <v>535</v>
      </c>
      <c r="D13" t="s">
        <v>531</v>
      </c>
      <c r="E13" t="s">
        <v>494</v>
      </c>
    </row>
    <row r="14" spans="1:5" x14ac:dyDescent="0.3">
      <c r="A14" t="s">
        <v>585</v>
      </c>
      <c r="B14" t="s">
        <v>586</v>
      </c>
      <c r="C14" t="s">
        <v>587</v>
      </c>
      <c r="D14" t="s">
        <v>588</v>
      </c>
      <c r="E14" t="s">
        <v>589</v>
      </c>
    </row>
  </sheetData>
  <hyperlinks>
    <hyperlink ref="A6" r:id="rId1" xr:uid="{FEC73E89-5B41-4E91-B6E2-A2658C373BC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F2B7-091E-41FA-A36B-72547CA4D295}">
  <dimension ref="A1:E15"/>
  <sheetViews>
    <sheetView workbookViewId="0">
      <selection activeCell="D21" sqref="A1:XFD1048576"/>
    </sheetView>
  </sheetViews>
  <sheetFormatPr baseColWidth="10" defaultRowHeight="14.4" x14ac:dyDescent="0.3"/>
  <cols>
    <col min="1" max="1" width="25.109375" bestFit="1" customWidth="1"/>
  </cols>
  <sheetData>
    <row r="1" spans="1:5" x14ac:dyDescent="0.3">
      <c r="A1" t="s">
        <v>536</v>
      </c>
      <c r="B1" t="s">
        <v>489</v>
      </c>
      <c r="C1" t="s">
        <v>490</v>
      </c>
      <c r="D1" t="s">
        <v>491</v>
      </c>
      <c r="E1" t="s">
        <v>492</v>
      </c>
    </row>
    <row r="2" spans="1:5" x14ac:dyDescent="0.3">
      <c r="A2" t="s">
        <v>537</v>
      </c>
      <c r="B2" t="s">
        <v>538</v>
      </c>
      <c r="C2" t="s">
        <v>539</v>
      </c>
      <c r="D2" t="s">
        <v>519</v>
      </c>
      <c r="E2" t="s">
        <v>540</v>
      </c>
    </row>
    <row r="3" spans="1:5" x14ac:dyDescent="0.3">
      <c r="A3" t="s">
        <v>493</v>
      </c>
      <c r="B3" t="s">
        <v>494</v>
      </c>
      <c r="C3" t="s">
        <v>495</v>
      </c>
      <c r="D3" t="s">
        <v>496</v>
      </c>
      <c r="E3" t="s">
        <v>497</v>
      </c>
    </row>
    <row r="4" spans="1:5" x14ac:dyDescent="0.3">
      <c r="A4" t="s">
        <v>541</v>
      </c>
      <c r="B4" t="s">
        <v>542</v>
      </c>
      <c r="C4" t="s">
        <v>543</v>
      </c>
      <c r="D4" t="s">
        <v>517</v>
      </c>
      <c r="E4" t="s">
        <v>544</v>
      </c>
    </row>
    <row r="5" spans="1:5" x14ac:dyDescent="0.3">
      <c r="A5" t="s">
        <v>550</v>
      </c>
      <c r="B5" t="s">
        <v>554</v>
      </c>
      <c r="C5" t="s">
        <v>547</v>
      </c>
      <c r="D5" t="s">
        <v>545</v>
      </c>
      <c r="E5" t="s">
        <v>546</v>
      </c>
    </row>
    <row r="6" spans="1:5" x14ac:dyDescent="0.3">
      <c r="A6" t="s">
        <v>867</v>
      </c>
      <c r="B6" t="s">
        <v>547</v>
      </c>
      <c r="C6" t="s">
        <v>555</v>
      </c>
      <c r="D6" t="s">
        <v>548</v>
      </c>
      <c r="E6" t="s">
        <v>549</v>
      </c>
    </row>
    <row r="7" spans="1:5" x14ac:dyDescent="0.3">
      <c r="A7" t="s">
        <v>551</v>
      </c>
      <c r="B7" t="s">
        <v>552</v>
      </c>
      <c r="C7" t="s">
        <v>553</v>
      </c>
      <c r="D7" t="s">
        <v>554</v>
      </c>
      <c r="E7" t="s">
        <v>555</v>
      </c>
    </row>
    <row r="8" spans="1:5" x14ac:dyDescent="0.3">
      <c r="A8" s="1" t="s">
        <v>556</v>
      </c>
      <c r="B8" t="s">
        <v>557</v>
      </c>
      <c r="C8" t="s">
        <v>558</v>
      </c>
      <c r="D8" t="s">
        <v>559</v>
      </c>
      <c r="E8" t="s">
        <v>560</v>
      </c>
    </row>
    <row r="9" spans="1:5" x14ac:dyDescent="0.3">
      <c r="A9" t="s">
        <v>561</v>
      </c>
      <c r="B9" t="s">
        <v>516</v>
      </c>
      <c r="C9" t="s">
        <v>562</v>
      </c>
      <c r="D9" s="1" t="s">
        <v>866</v>
      </c>
      <c r="E9" s="1" t="s">
        <v>518</v>
      </c>
    </row>
    <row r="10" spans="1:5" x14ac:dyDescent="0.3">
      <c r="A10" t="s">
        <v>524</v>
      </c>
      <c r="B10" t="s">
        <v>563</v>
      </c>
      <c r="C10" t="s">
        <v>564</v>
      </c>
      <c r="D10" t="s">
        <v>521</v>
      </c>
      <c r="E10" t="s">
        <v>519</v>
      </c>
    </row>
    <row r="11" spans="1:5" x14ac:dyDescent="0.3">
      <c r="A11" t="s">
        <v>525</v>
      </c>
      <c r="B11" t="s">
        <v>565</v>
      </c>
      <c r="C11" t="s">
        <v>521</v>
      </c>
      <c r="D11" t="s">
        <v>566</v>
      </c>
      <c r="E11" t="s">
        <v>527</v>
      </c>
    </row>
    <row r="12" spans="1:5" x14ac:dyDescent="0.3">
      <c r="A12" t="s">
        <v>526</v>
      </c>
      <c r="B12" t="s">
        <v>566</v>
      </c>
      <c r="C12" t="s">
        <v>531</v>
      </c>
      <c r="D12" t="s">
        <v>522</v>
      </c>
      <c r="E12" t="s">
        <v>529</v>
      </c>
    </row>
    <row r="13" spans="1:5" x14ac:dyDescent="0.3">
      <c r="A13" t="s">
        <v>567</v>
      </c>
      <c r="B13" t="s">
        <v>568</v>
      </c>
      <c r="C13" t="s">
        <v>569</v>
      </c>
      <c r="D13" t="s">
        <v>570</v>
      </c>
      <c r="E13" t="s">
        <v>38</v>
      </c>
    </row>
    <row r="14" spans="1:5" x14ac:dyDescent="0.3">
      <c r="A14" t="s">
        <v>571</v>
      </c>
      <c r="B14" t="s">
        <v>572</v>
      </c>
      <c r="C14" t="s">
        <v>573</v>
      </c>
      <c r="D14" t="s">
        <v>575</v>
      </c>
      <c r="E14" t="s">
        <v>574</v>
      </c>
    </row>
    <row r="15" spans="1:5" x14ac:dyDescent="0.3">
      <c r="A15" t="s">
        <v>585</v>
      </c>
      <c r="B15" t="s">
        <v>586</v>
      </c>
      <c r="C15" t="s">
        <v>587</v>
      </c>
      <c r="D15" t="s">
        <v>588</v>
      </c>
      <c r="E15" t="s">
        <v>589</v>
      </c>
    </row>
  </sheetData>
  <hyperlinks>
    <hyperlink ref="A8" r:id="rId1" xr:uid="{9AED4FB5-E535-47E0-B49B-11BCE2A9FA4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C3AE-00CF-4B4E-AD9B-52BC273DAF9D}">
  <dimension ref="A1:E9"/>
  <sheetViews>
    <sheetView workbookViewId="0">
      <selection activeCell="A10" sqref="A10"/>
    </sheetView>
  </sheetViews>
  <sheetFormatPr baseColWidth="10" defaultRowHeight="14.4" x14ac:dyDescent="0.3"/>
  <cols>
    <col min="1" max="1" width="25.109375" bestFit="1" customWidth="1"/>
  </cols>
  <sheetData>
    <row r="1" spans="1:5" x14ac:dyDescent="0.3">
      <c r="A1" t="s">
        <v>576</v>
      </c>
      <c r="B1" t="s">
        <v>577</v>
      </c>
      <c r="C1" t="s">
        <v>578</v>
      </c>
      <c r="D1" t="s">
        <v>579</v>
      </c>
      <c r="E1" t="s">
        <v>580</v>
      </c>
    </row>
    <row r="2" spans="1:5" x14ac:dyDescent="0.3">
      <c r="A2" t="s">
        <v>581</v>
      </c>
      <c r="B2" t="s">
        <v>582</v>
      </c>
      <c r="C2" t="s">
        <v>583</v>
      </c>
      <c r="D2" t="s">
        <v>584</v>
      </c>
      <c r="E2" t="s">
        <v>534</v>
      </c>
    </row>
    <row r="3" spans="1:5" x14ac:dyDescent="0.3">
      <c r="A3" t="s">
        <v>585</v>
      </c>
      <c r="B3" t="s">
        <v>586</v>
      </c>
      <c r="C3" t="s">
        <v>587</v>
      </c>
      <c r="D3" t="s">
        <v>588</v>
      </c>
      <c r="E3" t="s">
        <v>589</v>
      </c>
    </row>
    <row r="4" spans="1:5" x14ac:dyDescent="0.3">
      <c r="A4" t="s">
        <v>227</v>
      </c>
      <c r="B4" t="s">
        <v>225</v>
      </c>
      <c r="C4" t="s">
        <v>223</v>
      </c>
      <c r="D4" t="s">
        <v>226</v>
      </c>
      <c r="E4" t="s">
        <v>590</v>
      </c>
    </row>
    <row r="5" spans="1:5" x14ac:dyDescent="0.3">
      <c r="A5" t="s">
        <v>222</v>
      </c>
      <c r="B5" t="s">
        <v>223</v>
      </c>
      <c r="C5" t="s">
        <v>225</v>
      </c>
      <c r="D5" t="s">
        <v>224</v>
      </c>
      <c r="E5" t="s">
        <v>591</v>
      </c>
    </row>
    <row r="6" spans="1:5" x14ac:dyDescent="0.3">
      <c r="A6" t="s">
        <v>592</v>
      </c>
      <c r="B6" t="s">
        <v>593</v>
      </c>
      <c r="C6" t="s">
        <v>594</v>
      </c>
      <c r="D6" t="s">
        <v>595</v>
      </c>
      <c r="E6" t="s">
        <v>582</v>
      </c>
    </row>
    <row r="7" spans="1:5" x14ac:dyDescent="0.3">
      <c r="A7" t="s">
        <v>227</v>
      </c>
      <c r="B7" t="s">
        <v>596</v>
      </c>
      <c r="C7" t="s">
        <v>597</v>
      </c>
      <c r="D7" t="s">
        <v>598</v>
      </c>
      <c r="E7" t="s">
        <v>599</v>
      </c>
    </row>
    <row r="8" spans="1:5" x14ac:dyDescent="0.3">
      <c r="A8" t="s">
        <v>222</v>
      </c>
      <c r="B8" t="s">
        <v>228</v>
      </c>
      <c r="C8" t="s">
        <v>229</v>
      </c>
      <c r="D8" t="s">
        <v>224</v>
      </c>
      <c r="E8" t="s">
        <v>515</v>
      </c>
    </row>
    <row r="9" spans="1:5" x14ac:dyDescent="0.3">
      <c r="A9" t="s">
        <v>600</v>
      </c>
      <c r="B9" t="s">
        <v>601</v>
      </c>
      <c r="C9" t="s">
        <v>602</v>
      </c>
      <c r="D9" t="s">
        <v>603</v>
      </c>
      <c r="E9" s="1" t="s">
        <v>604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030E-BFDC-437A-B7B4-66B6A130E97D}">
  <dimension ref="A1:E17"/>
  <sheetViews>
    <sheetView workbookViewId="0">
      <selection activeCell="A4" sqref="A1:E17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605</v>
      </c>
      <c r="B1" t="s">
        <v>606</v>
      </c>
      <c r="C1" t="s">
        <v>607</v>
      </c>
      <c r="D1" t="s">
        <v>608</v>
      </c>
      <c r="E1" t="s">
        <v>609</v>
      </c>
    </row>
    <row r="2" spans="1:5" x14ac:dyDescent="0.3">
      <c r="A2" t="s">
        <v>610</v>
      </c>
      <c r="B2" t="s">
        <v>611</v>
      </c>
      <c r="C2" t="s">
        <v>612</v>
      </c>
      <c r="D2" t="s">
        <v>613</v>
      </c>
      <c r="E2" t="s">
        <v>614</v>
      </c>
    </row>
    <row r="3" spans="1:5" x14ac:dyDescent="0.3">
      <c r="A3" t="s">
        <v>615</v>
      </c>
      <c r="B3" t="s">
        <v>616</v>
      </c>
      <c r="C3" t="s">
        <v>617</v>
      </c>
      <c r="D3" t="s">
        <v>618</v>
      </c>
      <c r="E3" t="s">
        <v>619</v>
      </c>
    </row>
    <row r="4" spans="1:5" x14ac:dyDescent="0.3">
      <c r="A4" t="s">
        <v>868</v>
      </c>
      <c r="B4" t="s">
        <v>703</v>
      </c>
      <c r="C4" t="s">
        <v>133</v>
      </c>
      <c r="D4" t="s">
        <v>620</v>
      </c>
      <c r="E4" t="s">
        <v>147</v>
      </c>
    </row>
    <row r="5" spans="1:5" x14ac:dyDescent="0.3">
      <c r="A5" t="s">
        <v>621</v>
      </c>
      <c r="B5" t="s">
        <v>622</v>
      </c>
      <c r="C5" t="s">
        <v>623</v>
      </c>
      <c r="D5" t="s">
        <v>624</v>
      </c>
      <c r="E5" t="s">
        <v>625</v>
      </c>
    </row>
    <row r="6" spans="1:5" x14ac:dyDescent="0.3">
      <c r="A6" t="s">
        <v>626</v>
      </c>
      <c r="B6" t="s">
        <v>623</v>
      </c>
      <c r="C6" t="s">
        <v>624</v>
      </c>
      <c r="D6" t="s">
        <v>625</v>
      </c>
      <c r="E6" t="s">
        <v>622</v>
      </c>
    </row>
    <row r="7" spans="1:5" x14ac:dyDescent="0.3">
      <c r="A7" t="s">
        <v>627</v>
      </c>
      <c r="B7" t="s">
        <v>628</v>
      </c>
      <c r="C7" t="s">
        <v>629</v>
      </c>
      <c r="D7" t="s">
        <v>630</v>
      </c>
      <c r="E7" t="s">
        <v>631</v>
      </c>
    </row>
    <row r="8" spans="1:5" x14ac:dyDescent="0.3">
      <c r="A8" t="s">
        <v>632</v>
      </c>
      <c r="B8" t="s">
        <v>629</v>
      </c>
      <c r="C8" t="s">
        <v>628</v>
      </c>
      <c r="D8" t="s">
        <v>630</v>
      </c>
      <c r="E8" t="s">
        <v>631</v>
      </c>
    </row>
    <row r="9" spans="1:5" x14ac:dyDescent="0.3">
      <c r="A9" t="s">
        <v>633</v>
      </c>
      <c r="B9" t="s">
        <v>634</v>
      </c>
      <c r="C9" t="s">
        <v>635</v>
      </c>
      <c r="D9" t="s">
        <v>636</v>
      </c>
      <c r="E9" t="s">
        <v>631</v>
      </c>
    </row>
    <row r="10" spans="1:5" x14ac:dyDescent="0.3">
      <c r="A10" t="s">
        <v>718</v>
      </c>
      <c r="B10" t="s">
        <v>635</v>
      </c>
      <c r="C10" t="s">
        <v>634</v>
      </c>
      <c r="D10" t="s">
        <v>636</v>
      </c>
      <c r="E10" t="s">
        <v>631</v>
      </c>
    </row>
    <row r="11" spans="1:5" x14ac:dyDescent="0.3">
      <c r="A11" t="s">
        <v>637</v>
      </c>
      <c r="B11" t="s">
        <v>639</v>
      </c>
      <c r="C11" t="s">
        <v>640</v>
      </c>
      <c r="D11" t="s">
        <v>641</v>
      </c>
      <c r="E11" t="s">
        <v>631</v>
      </c>
    </row>
    <row r="12" spans="1:5" x14ac:dyDescent="0.3">
      <c r="A12" t="s">
        <v>638</v>
      </c>
      <c r="B12" t="s">
        <v>639</v>
      </c>
      <c r="C12" t="s">
        <v>640</v>
      </c>
      <c r="D12" t="s">
        <v>641</v>
      </c>
      <c r="E12" t="s">
        <v>631</v>
      </c>
    </row>
    <row r="13" spans="1:5" x14ac:dyDescent="0.3">
      <c r="A13" t="s">
        <v>642</v>
      </c>
      <c r="B13" t="s">
        <v>644</v>
      </c>
      <c r="C13" t="s">
        <v>645</v>
      </c>
      <c r="D13" t="s">
        <v>646</v>
      </c>
      <c r="E13" t="s">
        <v>631</v>
      </c>
    </row>
    <row r="14" spans="1:5" x14ac:dyDescent="0.3">
      <c r="A14" t="s">
        <v>643</v>
      </c>
      <c r="B14" t="s">
        <v>645</v>
      </c>
      <c r="C14" t="s">
        <v>644</v>
      </c>
      <c r="D14" t="s">
        <v>646</v>
      </c>
      <c r="E14" t="s">
        <v>631</v>
      </c>
    </row>
    <row r="15" spans="1:5" x14ac:dyDescent="0.3">
      <c r="A15" t="s">
        <v>647</v>
      </c>
      <c r="B15" t="s">
        <v>648</v>
      </c>
      <c r="C15" t="s">
        <v>649</v>
      </c>
      <c r="D15" t="s">
        <v>650</v>
      </c>
      <c r="E15" t="s">
        <v>651</v>
      </c>
    </row>
    <row r="16" spans="1:5" x14ac:dyDescent="0.3">
      <c r="A16" t="s">
        <v>652</v>
      </c>
      <c r="B16" t="s">
        <v>649</v>
      </c>
      <c r="C16" t="s">
        <v>650</v>
      </c>
      <c r="D16" t="s">
        <v>648</v>
      </c>
      <c r="E16" t="s">
        <v>651</v>
      </c>
    </row>
    <row r="17" spans="1:5" x14ac:dyDescent="0.3">
      <c r="A17" t="s">
        <v>653</v>
      </c>
      <c r="B17" t="s">
        <v>656</v>
      </c>
      <c r="C17" t="s">
        <v>654</v>
      </c>
      <c r="D17" t="s">
        <v>655</v>
      </c>
      <c r="E17" t="s">
        <v>657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A500-6863-4453-B89E-63F82BD6F98A}">
  <dimension ref="A1:E12"/>
  <sheetViews>
    <sheetView workbookViewId="0">
      <selection activeCell="E12" sqref="A1:E12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658</v>
      </c>
      <c r="B1" t="s">
        <v>29</v>
      </c>
      <c r="C1" t="s">
        <v>659</v>
      </c>
      <c r="D1" s="1" t="s">
        <v>31</v>
      </c>
      <c r="E1" t="s">
        <v>660</v>
      </c>
    </row>
    <row r="2" spans="1:5" x14ac:dyDescent="0.3">
      <c r="A2" t="s">
        <v>661</v>
      </c>
      <c r="B2" t="s">
        <v>662</v>
      </c>
      <c r="C2" t="s">
        <v>666</v>
      </c>
      <c r="D2" t="s">
        <v>663</v>
      </c>
      <c r="E2" t="s">
        <v>659</v>
      </c>
    </row>
    <row r="3" spans="1:5" x14ac:dyDescent="0.3">
      <c r="A3" t="s">
        <v>661</v>
      </c>
      <c r="B3" t="s">
        <v>664</v>
      </c>
      <c r="C3" t="s">
        <v>665</v>
      </c>
      <c r="D3" t="s">
        <v>667</v>
      </c>
      <c r="E3" t="s">
        <v>659</v>
      </c>
    </row>
    <row r="4" spans="1:5" x14ac:dyDescent="0.3">
      <c r="A4" t="s">
        <v>670</v>
      </c>
      <c r="B4" t="s">
        <v>668</v>
      </c>
      <c r="C4">
        <v>4000</v>
      </c>
      <c r="D4" t="s">
        <v>669</v>
      </c>
      <c r="E4" t="s">
        <v>631</v>
      </c>
    </row>
    <row r="5" spans="1:5" x14ac:dyDescent="0.3">
      <c r="A5" t="s">
        <v>671</v>
      </c>
      <c r="B5" t="s">
        <v>672</v>
      </c>
      <c r="C5" t="s">
        <v>673</v>
      </c>
      <c r="D5" s="1" t="s">
        <v>674</v>
      </c>
      <c r="E5" t="s">
        <v>634</v>
      </c>
    </row>
    <row r="6" spans="1:5" x14ac:dyDescent="0.3">
      <c r="A6" t="s">
        <v>675</v>
      </c>
      <c r="B6" t="s">
        <v>676</v>
      </c>
      <c r="C6" t="s">
        <v>677</v>
      </c>
      <c r="D6" t="s">
        <v>679</v>
      </c>
      <c r="E6" t="s">
        <v>678</v>
      </c>
    </row>
    <row r="7" spans="1:5" x14ac:dyDescent="0.3">
      <c r="A7" t="s">
        <v>680</v>
      </c>
      <c r="B7" t="s">
        <v>681</v>
      </c>
      <c r="C7" t="s">
        <v>682</v>
      </c>
      <c r="D7" t="s">
        <v>683</v>
      </c>
      <c r="E7" t="s">
        <v>684</v>
      </c>
    </row>
    <row r="8" spans="1:5" x14ac:dyDescent="0.3">
      <c r="A8" t="s">
        <v>685</v>
      </c>
      <c r="B8" t="s">
        <v>686</v>
      </c>
      <c r="C8" t="s">
        <v>687</v>
      </c>
      <c r="D8" t="s">
        <v>688</v>
      </c>
      <c r="E8" t="s">
        <v>687</v>
      </c>
    </row>
    <row r="9" spans="1:5" x14ac:dyDescent="0.3">
      <c r="A9" t="s">
        <v>680</v>
      </c>
      <c r="B9" t="s">
        <v>689</v>
      </c>
      <c r="C9" t="s">
        <v>682</v>
      </c>
      <c r="D9" t="s">
        <v>683</v>
      </c>
      <c r="E9" t="s">
        <v>684</v>
      </c>
    </row>
    <row r="10" spans="1:5" x14ac:dyDescent="0.3">
      <c r="A10" t="s">
        <v>690</v>
      </c>
      <c r="B10" t="s">
        <v>601</v>
      </c>
      <c r="C10" t="s">
        <v>602</v>
      </c>
      <c r="D10" t="s">
        <v>691</v>
      </c>
      <c r="E10" t="s">
        <v>692</v>
      </c>
    </row>
    <row r="11" spans="1:5" x14ac:dyDescent="0.3">
      <c r="A11" t="s">
        <v>693</v>
      </c>
      <c r="B11" t="s">
        <v>694</v>
      </c>
      <c r="C11" t="s">
        <v>695</v>
      </c>
      <c r="D11" t="s">
        <v>696</v>
      </c>
      <c r="E11" t="s">
        <v>697</v>
      </c>
    </row>
    <row r="12" spans="1:5" x14ac:dyDescent="0.3">
      <c r="A12" t="s">
        <v>698</v>
      </c>
      <c r="B12" t="s">
        <v>869</v>
      </c>
      <c r="C12" t="s">
        <v>870</v>
      </c>
      <c r="D12" t="s">
        <v>871</v>
      </c>
      <c r="E12" t="s">
        <v>699</v>
      </c>
    </row>
  </sheetData>
  <hyperlinks>
    <hyperlink ref="D1" r:id="rId1" display="\\omega" xr:uid="{A6F66DDF-44DC-44A3-B421-C2ACB3DABA8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BDF8-27D8-4B9B-BEA8-EAE66F52135C}">
  <dimension ref="A1:E12"/>
  <sheetViews>
    <sheetView workbookViewId="0">
      <selection activeCell="C18" sqref="A1:XFD1048576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706</v>
      </c>
      <c r="B1" t="s">
        <v>0</v>
      </c>
      <c r="C1" t="s">
        <v>701</v>
      </c>
      <c r="D1" t="s">
        <v>634</v>
      </c>
      <c r="E1" t="s">
        <v>245</v>
      </c>
    </row>
    <row r="2" spans="1:5" x14ac:dyDescent="0.3">
      <c r="A2" t="s">
        <v>705</v>
      </c>
      <c r="B2" t="s">
        <v>701</v>
      </c>
      <c r="C2" t="s">
        <v>0</v>
      </c>
      <c r="D2" s="1" t="s">
        <v>700</v>
      </c>
      <c r="E2" t="s">
        <v>245</v>
      </c>
    </row>
    <row r="3" spans="1:5" x14ac:dyDescent="0.3">
      <c r="A3" t="s">
        <v>872</v>
      </c>
      <c r="B3" t="s">
        <v>704</v>
      </c>
      <c r="C3" t="s">
        <v>707</v>
      </c>
      <c r="D3" t="s">
        <v>708</v>
      </c>
      <c r="E3" t="s">
        <v>709</v>
      </c>
    </row>
    <row r="4" spans="1:5" x14ac:dyDescent="0.3">
      <c r="A4" t="s">
        <v>702</v>
      </c>
      <c r="B4" t="s">
        <v>269</v>
      </c>
      <c r="C4" t="s">
        <v>270</v>
      </c>
      <c r="D4" t="s">
        <v>710</v>
      </c>
      <c r="E4" t="s">
        <v>711</v>
      </c>
    </row>
    <row r="5" spans="1:5" x14ac:dyDescent="0.3">
      <c r="A5" t="s">
        <v>626</v>
      </c>
      <c r="B5" t="s">
        <v>623</v>
      </c>
      <c r="C5" t="s">
        <v>624</v>
      </c>
      <c r="D5" t="s">
        <v>625</v>
      </c>
      <c r="E5" t="s">
        <v>622</v>
      </c>
    </row>
    <row r="6" spans="1:5" x14ac:dyDescent="0.3">
      <c r="A6" t="s">
        <v>712</v>
      </c>
      <c r="B6" t="s">
        <v>628</v>
      </c>
      <c r="C6" t="s">
        <v>629</v>
      </c>
      <c r="D6" t="s">
        <v>630</v>
      </c>
      <c r="E6" t="s">
        <v>631</v>
      </c>
    </row>
    <row r="7" spans="1:5" x14ac:dyDescent="0.3">
      <c r="A7" t="s">
        <v>713</v>
      </c>
      <c r="B7" t="s">
        <v>629</v>
      </c>
      <c r="C7" t="s">
        <v>628</v>
      </c>
      <c r="D7" t="s">
        <v>630</v>
      </c>
      <c r="E7" t="s">
        <v>631</v>
      </c>
    </row>
    <row r="8" spans="1:5" x14ac:dyDescent="0.3">
      <c r="A8" t="s">
        <v>714</v>
      </c>
      <c r="B8" t="s">
        <v>634</v>
      </c>
      <c r="C8" t="s">
        <v>635</v>
      </c>
      <c r="D8" t="s">
        <v>636</v>
      </c>
      <c r="E8" t="s">
        <v>631</v>
      </c>
    </row>
    <row r="9" spans="1:5" x14ac:dyDescent="0.3">
      <c r="A9" t="s">
        <v>715</v>
      </c>
      <c r="B9" t="s">
        <v>635</v>
      </c>
      <c r="C9" t="s">
        <v>634</v>
      </c>
      <c r="D9" t="s">
        <v>636</v>
      </c>
      <c r="E9" t="s">
        <v>631</v>
      </c>
    </row>
    <row r="10" spans="1:5" x14ac:dyDescent="0.3">
      <c r="A10" t="s">
        <v>716</v>
      </c>
      <c r="B10" t="s">
        <v>719</v>
      </c>
      <c r="C10" t="s">
        <v>495</v>
      </c>
      <c r="D10" t="s">
        <v>720</v>
      </c>
      <c r="E10" t="s">
        <v>631</v>
      </c>
    </row>
    <row r="11" spans="1:5" x14ac:dyDescent="0.3">
      <c r="A11" t="s">
        <v>717</v>
      </c>
      <c r="B11" t="s">
        <v>719</v>
      </c>
      <c r="C11" t="s">
        <v>495</v>
      </c>
      <c r="D11" t="s">
        <v>720</v>
      </c>
      <c r="E11" t="s">
        <v>631</v>
      </c>
    </row>
    <row r="12" spans="1:5" x14ac:dyDescent="0.3">
      <c r="A12" t="s">
        <v>721</v>
      </c>
      <c r="B12" t="s">
        <v>722</v>
      </c>
      <c r="C12" t="s">
        <v>723</v>
      </c>
      <c r="D12" t="s">
        <v>724</v>
      </c>
      <c r="E12" t="s">
        <v>725</v>
      </c>
    </row>
  </sheetData>
  <hyperlinks>
    <hyperlink ref="D2" r:id="rId1" xr:uid="{3C3C6F99-DCF9-4256-886F-C01CCEEF261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CF5A-C82B-4A1A-B79E-CD6014286BC3}">
  <dimension ref="A1:E18"/>
  <sheetViews>
    <sheetView workbookViewId="0">
      <selection activeCell="A18" sqref="A1:E18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793</v>
      </c>
      <c r="B1" t="s">
        <v>726</v>
      </c>
      <c r="C1" t="s">
        <v>727</v>
      </c>
      <c r="D1" t="s">
        <v>728</v>
      </c>
      <c r="E1" t="s">
        <v>729</v>
      </c>
    </row>
    <row r="2" spans="1:5" x14ac:dyDescent="0.3">
      <c r="A2" t="s">
        <v>793</v>
      </c>
      <c r="B2" t="s">
        <v>873</v>
      </c>
      <c r="C2" t="s">
        <v>874</v>
      </c>
      <c r="D2" t="s">
        <v>875</v>
      </c>
      <c r="E2" t="s">
        <v>0</v>
      </c>
    </row>
    <row r="3" spans="1:5" x14ac:dyDescent="0.3">
      <c r="A3" t="s">
        <v>730</v>
      </c>
      <c r="B3" t="s">
        <v>732</v>
      </c>
      <c r="C3" t="s">
        <v>731</v>
      </c>
      <c r="D3" t="s">
        <v>733</v>
      </c>
      <c r="E3" t="s">
        <v>734</v>
      </c>
    </row>
    <row r="4" spans="1:5" x14ac:dyDescent="0.3">
      <c r="A4" t="s">
        <v>730</v>
      </c>
      <c r="B4" t="s">
        <v>735</v>
      </c>
      <c r="C4" t="s">
        <v>731</v>
      </c>
      <c r="D4" t="s">
        <v>733</v>
      </c>
      <c r="E4" t="s">
        <v>734</v>
      </c>
    </row>
    <row r="5" spans="1:5" x14ac:dyDescent="0.3">
      <c r="A5" t="s">
        <v>730</v>
      </c>
      <c r="B5" t="s">
        <v>736</v>
      </c>
      <c r="C5" t="s">
        <v>731</v>
      </c>
      <c r="D5" t="s">
        <v>733</v>
      </c>
      <c r="E5" t="s">
        <v>734</v>
      </c>
    </row>
    <row r="6" spans="1:5" x14ac:dyDescent="0.3">
      <c r="A6" t="s">
        <v>737</v>
      </c>
      <c r="B6" t="s">
        <v>0</v>
      </c>
      <c r="C6" t="s">
        <v>245</v>
      </c>
      <c r="D6" t="s">
        <v>738</v>
      </c>
      <c r="E6" t="s">
        <v>99</v>
      </c>
    </row>
    <row r="7" spans="1:5" x14ac:dyDescent="0.3">
      <c r="A7" t="s">
        <v>739</v>
      </c>
      <c r="B7" t="s">
        <v>740</v>
      </c>
      <c r="C7" t="s">
        <v>735</v>
      </c>
      <c r="D7" t="s">
        <v>99</v>
      </c>
      <c r="E7" t="s">
        <v>0</v>
      </c>
    </row>
    <row r="8" spans="1:5" x14ac:dyDescent="0.3">
      <c r="A8" t="s">
        <v>741</v>
      </c>
      <c r="B8" t="s">
        <v>742</v>
      </c>
      <c r="C8" t="s">
        <v>0</v>
      </c>
      <c r="D8" t="s">
        <v>743</v>
      </c>
      <c r="E8" t="s">
        <v>740</v>
      </c>
    </row>
    <row r="9" spans="1:5" x14ac:dyDescent="0.3">
      <c r="A9" t="s">
        <v>741</v>
      </c>
      <c r="B9" t="s">
        <v>744</v>
      </c>
      <c r="C9" t="s">
        <v>745</v>
      </c>
      <c r="D9" t="s">
        <v>743</v>
      </c>
      <c r="E9" t="s">
        <v>746</v>
      </c>
    </row>
    <row r="10" spans="1:5" x14ac:dyDescent="0.3">
      <c r="A10" t="s">
        <v>747</v>
      </c>
      <c r="B10" t="s">
        <v>798</v>
      </c>
      <c r="C10" t="s">
        <v>744</v>
      </c>
      <c r="D10" t="s">
        <v>743</v>
      </c>
      <c r="E10" t="s">
        <v>746</v>
      </c>
    </row>
    <row r="11" spans="1:5" x14ac:dyDescent="0.3">
      <c r="A11" t="s">
        <v>748</v>
      </c>
      <c r="B11" t="s">
        <v>743</v>
      </c>
      <c r="C11" t="s">
        <v>744</v>
      </c>
      <c r="D11" t="s">
        <v>798</v>
      </c>
      <c r="E11" t="s">
        <v>746</v>
      </c>
    </row>
    <row r="12" spans="1:5" x14ac:dyDescent="0.3">
      <c r="A12" t="s">
        <v>749</v>
      </c>
      <c r="B12" t="s">
        <v>133</v>
      </c>
      <c r="C12" t="s">
        <v>134</v>
      </c>
      <c r="D12" t="s">
        <v>750</v>
      </c>
      <c r="E12" t="s">
        <v>751</v>
      </c>
    </row>
    <row r="13" spans="1:5" x14ac:dyDescent="0.3">
      <c r="A13" t="s">
        <v>754</v>
      </c>
      <c r="B13" t="s">
        <v>752</v>
      </c>
      <c r="C13" t="s">
        <v>753</v>
      </c>
      <c r="D13" t="s">
        <v>3</v>
      </c>
      <c r="E13" t="s">
        <v>625</v>
      </c>
    </row>
    <row r="14" spans="1:5" x14ac:dyDescent="0.3">
      <c r="A14" t="s">
        <v>755</v>
      </c>
      <c r="B14" t="s">
        <v>756</v>
      </c>
      <c r="C14" t="s">
        <v>757</v>
      </c>
      <c r="D14" t="s">
        <v>758</v>
      </c>
      <c r="E14" t="s">
        <v>566</v>
      </c>
    </row>
    <row r="15" spans="1:5" x14ac:dyDescent="0.3">
      <c r="A15" t="s">
        <v>759</v>
      </c>
      <c r="B15" t="s">
        <v>760</v>
      </c>
      <c r="C15" t="s">
        <v>761</v>
      </c>
      <c r="D15" t="s">
        <v>762</v>
      </c>
      <c r="E15" t="s">
        <v>763</v>
      </c>
    </row>
    <row r="16" spans="1:5" x14ac:dyDescent="0.3">
      <c r="A16" t="s">
        <v>764</v>
      </c>
      <c r="B16" t="s">
        <v>757</v>
      </c>
      <c r="C16" t="s">
        <v>756</v>
      </c>
      <c r="D16" t="s">
        <v>765</v>
      </c>
      <c r="E16" t="s">
        <v>766</v>
      </c>
    </row>
    <row r="17" spans="1:5" x14ac:dyDescent="0.3">
      <c r="A17" t="s">
        <v>767</v>
      </c>
      <c r="B17" t="s">
        <v>795</v>
      </c>
      <c r="C17" t="s">
        <v>796</v>
      </c>
      <c r="D17" t="s">
        <v>768</v>
      </c>
      <c r="E17" t="s">
        <v>769</v>
      </c>
    </row>
    <row r="18" spans="1:5" x14ac:dyDescent="0.3">
      <c r="A18" t="s">
        <v>876</v>
      </c>
      <c r="B18" t="s">
        <v>770</v>
      </c>
      <c r="C18" t="s">
        <v>771</v>
      </c>
      <c r="D18" t="s">
        <v>797</v>
      </c>
      <c r="E18" t="s">
        <v>795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D6DF-E3EA-442B-88C9-26CD6FCC4C27}">
  <dimension ref="A1:E16"/>
  <sheetViews>
    <sheetView workbookViewId="0">
      <selection activeCell="E12" sqref="A1:E16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772</v>
      </c>
      <c r="B1" t="s">
        <v>773</v>
      </c>
      <c r="C1" t="s">
        <v>774</v>
      </c>
      <c r="D1" t="s">
        <v>775</v>
      </c>
      <c r="E1" t="s">
        <v>776</v>
      </c>
    </row>
    <row r="2" spans="1:5" x14ac:dyDescent="0.3">
      <c r="A2" t="s">
        <v>877</v>
      </c>
      <c r="B2" t="s">
        <v>777</v>
      </c>
      <c r="C2" t="s">
        <v>778</v>
      </c>
      <c r="D2" t="s">
        <v>779</v>
      </c>
      <c r="E2" t="s">
        <v>780</v>
      </c>
    </row>
    <row r="3" spans="1:5" x14ac:dyDescent="0.3">
      <c r="A3" t="s">
        <v>142</v>
      </c>
      <c r="B3" t="s">
        <v>246</v>
      </c>
      <c r="C3" t="s">
        <v>781</v>
      </c>
      <c r="D3" t="s">
        <v>782</v>
      </c>
      <c r="E3" t="s">
        <v>0</v>
      </c>
    </row>
    <row r="4" spans="1:5" x14ac:dyDescent="0.3">
      <c r="A4" t="s">
        <v>748</v>
      </c>
      <c r="B4" t="s">
        <v>799</v>
      </c>
      <c r="C4" t="s">
        <v>800</v>
      </c>
      <c r="D4" t="s">
        <v>791</v>
      </c>
      <c r="E4" t="s">
        <v>801</v>
      </c>
    </row>
    <row r="5" spans="1:5" x14ac:dyDescent="0.3">
      <c r="A5" t="s">
        <v>808</v>
      </c>
      <c r="B5" t="s">
        <v>783</v>
      </c>
      <c r="C5" t="s">
        <v>97</v>
      </c>
      <c r="D5" t="s">
        <v>291</v>
      </c>
      <c r="E5" t="s">
        <v>99</v>
      </c>
    </row>
    <row r="6" spans="1:5" x14ac:dyDescent="0.3">
      <c r="A6" t="s">
        <v>741</v>
      </c>
      <c r="B6" t="s">
        <v>784</v>
      </c>
      <c r="C6" t="s">
        <v>744</v>
      </c>
      <c r="D6" t="s">
        <v>743</v>
      </c>
      <c r="E6" t="s">
        <v>746</v>
      </c>
    </row>
    <row r="7" spans="1:5" x14ac:dyDescent="0.3">
      <c r="A7" t="s">
        <v>785</v>
      </c>
      <c r="B7" t="s">
        <v>786</v>
      </c>
      <c r="C7" t="s">
        <v>787</v>
      </c>
      <c r="D7" t="s">
        <v>788</v>
      </c>
      <c r="E7" t="s">
        <v>789</v>
      </c>
    </row>
    <row r="8" spans="1:5" x14ac:dyDescent="0.3">
      <c r="A8" t="s">
        <v>790</v>
      </c>
      <c r="B8">
        <v>0</v>
      </c>
      <c r="C8" t="s">
        <v>791</v>
      </c>
      <c r="D8" t="s">
        <v>792</v>
      </c>
      <c r="E8" t="s">
        <v>495</v>
      </c>
    </row>
    <row r="9" spans="1:5" x14ac:dyDescent="0.3">
      <c r="A9" t="s">
        <v>794</v>
      </c>
      <c r="B9" t="s">
        <v>744</v>
      </c>
      <c r="C9" t="s">
        <v>784</v>
      </c>
      <c r="D9" t="s">
        <v>743</v>
      </c>
      <c r="E9" t="s">
        <v>786</v>
      </c>
    </row>
    <row r="10" spans="1:5" x14ac:dyDescent="0.3">
      <c r="A10" t="s">
        <v>794</v>
      </c>
      <c r="B10" t="s">
        <v>787</v>
      </c>
      <c r="C10" t="s">
        <v>784</v>
      </c>
      <c r="D10" t="s">
        <v>743</v>
      </c>
      <c r="E10" t="s">
        <v>786</v>
      </c>
    </row>
    <row r="11" spans="1:5" x14ac:dyDescent="0.3">
      <c r="A11" t="s">
        <v>747</v>
      </c>
      <c r="B11" t="s">
        <v>798</v>
      </c>
      <c r="C11" t="s">
        <v>744</v>
      </c>
      <c r="D11" t="s">
        <v>743</v>
      </c>
      <c r="E11" t="s">
        <v>746</v>
      </c>
    </row>
    <row r="12" spans="1:5" x14ac:dyDescent="0.3">
      <c r="A12" t="s">
        <v>748</v>
      </c>
      <c r="B12" t="s">
        <v>743</v>
      </c>
      <c r="C12" t="s">
        <v>744</v>
      </c>
      <c r="D12" t="s">
        <v>798</v>
      </c>
      <c r="E12" t="s">
        <v>746</v>
      </c>
    </row>
    <row r="13" spans="1:5" x14ac:dyDescent="0.3">
      <c r="A13" t="s">
        <v>749</v>
      </c>
      <c r="B13" t="s">
        <v>133</v>
      </c>
      <c r="C13" t="s">
        <v>134</v>
      </c>
      <c r="D13" t="s">
        <v>750</v>
      </c>
      <c r="E13" t="s">
        <v>751</v>
      </c>
    </row>
    <row r="14" spans="1:5" x14ac:dyDescent="0.3">
      <c r="A14" t="s">
        <v>767</v>
      </c>
      <c r="B14" t="s">
        <v>795</v>
      </c>
      <c r="C14" t="s">
        <v>796</v>
      </c>
      <c r="D14" t="s">
        <v>768</v>
      </c>
      <c r="E14" t="s">
        <v>769</v>
      </c>
    </row>
    <row r="15" spans="1:5" x14ac:dyDescent="0.3">
      <c r="A15" t="s">
        <v>876</v>
      </c>
      <c r="B15" t="s">
        <v>770</v>
      </c>
      <c r="C15" t="s">
        <v>878</v>
      </c>
      <c r="D15" t="s">
        <v>797</v>
      </c>
      <c r="E15" t="s">
        <v>795</v>
      </c>
    </row>
    <row r="16" spans="1:5" x14ac:dyDescent="0.3">
      <c r="A16" t="s">
        <v>759</v>
      </c>
      <c r="B16" t="s">
        <v>760</v>
      </c>
      <c r="C16" t="s">
        <v>761</v>
      </c>
      <c r="D16" t="s">
        <v>762</v>
      </c>
      <c r="E16" t="s">
        <v>763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19D5-98DA-4E9C-9276-103BEB2B8675}">
  <dimension ref="A1:E17"/>
  <sheetViews>
    <sheetView workbookViewId="0">
      <selection activeCell="A9" sqref="A1:XFD1048576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772</v>
      </c>
      <c r="B1" t="s">
        <v>773</v>
      </c>
      <c r="C1" t="s">
        <v>774</v>
      </c>
      <c r="D1" t="s">
        <v>775</v>
      </c>
      <c r="E1" t="s">
        <v>776</v>
      </c>
    </row>
    <row r="2" spans="1:5" x14ac:dyDescent="0.3">
      <c r="A2" t="s">
        <v>802</v>
      </c>
      <c r="B2" t="s">
        <v>773</v>
      </c>
      <c r="C2" t="s">
        <v>774</v>
      </c>
      <c r="D2" t="s">
        <v>775</v>
      </c>
      <c r="E2" t="s">
        <v>803</v>
      </c>
    </row>
    <row r="3" spans="1:5" x14ac:dyDescent="0.3">
      <c r="A3" t="s">
        <v>805</v>
      </c>
      <c r="B3" t="s">
        <v>806</v>
      </c>
      <c r="C3" t="s">
        <v>728</v>
      </c>
      <c r="D3" t="s">
        <v>246</v>
      </c>
      <c r="E3" t="s">
        <v>0</v>
      </c>
    </row>
    <row r="4" spans="1:5" x14ac:dyDescent="0.3">
      <c r="A4" t="s">
        <v>804</v>
      </c>
      <c r="B4" t="s">
        <v>246</v>
      </c>
      <c r="C4" t="s">
        <v>781</v>
      </c>
      <c r="D4" t="s">
        <v>782</v>
      </c>
      <c r="E4" t="s">
        <v>0</v>
      </c>
    </row>
    <row r="5" spans="1:5" x14ac:dyDescent="0.3">
      <c r="A5" t="s">
        <v>748</v>
      </c>
      <c r="B5" t="s">
        <v>807</v>
      </c>
      <c r="C5" t="s">
        <v>800</v>
      </c>
      <c r="D5" t="s">
        <v>791</v>
      </c>
      <c r="E5" t="s">
        <v>801</v>
      </c>
    </row>
    <row r="6" spans="1:5" x14ac:dyDescent="0.3">
      <c r="A6" t="s">
        <v>815</v>
      </c>
      <c r="B6" t="s">
        <v>732</v>
      </c>
      <c r="C6" t="s">
        <v>731</v>
      </c>
      <c r="D6" t="s">
        <v>733</v>
      </c>
      <c r="E6" t="s">
        <v>734</v>
      </c>
    </row>
    <row r="7" spans="1:5" x14ac:dyDescent="0.3">
      <c r="A7" t="s">
        <v>815</v>
      </c>
      <c r="B7" t="s">
        <v>735</v>
      </c>
      <c r="C7" t="s">
        <v>731</v>
      </c>
      <c r="D7" t="s">
        <v>733</v>
      </c>
      <c r="E7" t="s">
        <v>734</v>
      </c>
    </row>
    <row r="8" spans="1:5" x14ac:dyDescent="0.3">
      <c r="A8" t="s">
        <v>815</v>
      </c>
      <c r="B8" t="s">
        <v>736</v>
      </c>
      <c r="C8" t="s">
        <v>731</v>
      </c>
      <c r="D8" t="s">
        <v>733</v>
      </c>
      <c r="E8" t="s">
        <v>734</v>
      </c>
    </row>
    <row r="9" spans="1:5" x14ac:dyDescent="0.3">
      <c r="A9" t="s">
        <v>741</v>
      </c>
      <c r="B9" t="s">
        <v>784</v>
      </c>
      <c r="C9" t="s">
        <v>809</v>
      </c>
      <c r="D9" t="s">
        <v>743</v>
      </c>
      <c r="E9" t="s">
        <v>746</v>
      </c>
    </row>
    <row r="10" spans="1:5" x14ac:dyDescent="0.3">
      <c r="A10" t="s">
        <v>808</v>
      </c>
      <c r="B10" t="s">
        <v>783</v>
      </c>
      <c r="C10" t="s">
        <v>97</v>
      </c>
      <c r="D10" t="s">
        <v>291</v>
      </c>
      <c r="E10" t="s">
        <v>99</v>
      </c>
    </row>
    <row r="11" spans="1:5" x14ac:dyDescent="0.3">
      <c r="A11" t="s">
        <v>747</v>
      </c>
      <c r="B11" t="s">
        <v>798</v>
      </c>
      <c r="C11" t="s">
        <v>744</v>
      </c>
      <c r="D11" t="s">
        <v>743</v>
      </c>
      <c r="E11" t="s">
        <v>746</v>
      </c>
    </row>
    <row r="12" spans="1:5" x14ac:dyDescent="0.3">
      <c r="A12" t="s">
        <v>748</v>
      </c>
      <c r="B12" t="s">
        <v>743</v>
      </c>
      <c r="C12" t="s">
        <v>744</v>
      </c>
      <c r="D12" t="s">
        <v>798</v>
      </c>
      <c r="E12" t="s">
        <v>746</v>
      </c>
    </row>
    <row r="13" spans="1:5" x14ac:dyDescent="0.3">
      <c r="A13" t="s">
        <v>810</v>
      </c>
      <c r="B13" t="s">
        <v>811</v>
      </c>
      <c r="C13" t="s">
        <v>812</v>
      </c>
      <c r="D13" t="s">
        <v>813</v>
      </c>
      <c r="E13" t="s">
        <v>814</v>
      </c>
    </row>
    <row r="14" spans="1:5" x14ac:dyDescent="0.3">
      <c r="A14" t="s">
        <v>749</v>
      </c>
      <c r="B14" t="s">
        <v>133</v>
      </c>
      <c r="C14" t="s">
        <v>134</v>
      </c>
      <c r="D14" t="s">
        <v>750</v>
      </c>
      <c r="E14" t="s">
        <v>751</v>
      </c>
    </row>
    <row r="15" spans="1:5" x14ac:dyDescent="0.3">
      <c r="A15" t="s">
        <v>767</v>
      </c>
      <c r="B15" t="s">
        <v>795</v>
      </c>
      <c r="C15" t="s">
        <v>796</v>
      </c>
      <c r="D15" t="s">
        <v>768</v>
      </c>
      <c r="E15" t="s">
        <v>769</v>
      </c>
    </row>
    <row r="16" spans="1:5" x14ac:dyDescent="0.3">
      <c r="A16" t="s">
        <v>876</v>
      </c>
      <c r="B16" t="s">
        <v>770</v>
      </c>
      <c r="C16" t="s">
        <v>878</v>
      </c>
      <c r="D16" t="s">
        <v>797</v>
      </c>
      <c r="E16" t="s">
        <v>795</v>
      </c>
    </row>
    <row r="17" spans="1:5" x14ac:dyDescent="0.3">
      <c r="A17" t="s">
        <v>759</v>
      </c>
      <c r="B17" t="s">
        <v>760</v>
      </c>
      <c r="C17" t="s">
        <v>761</v>
      </c>
      <c r="D17" t="s">
        <v>762</v>
      </c>
      <c r="E17" t="s">
        <v>763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C49D-AC90-484D-977A-FE1BA9A7FAF7}">
  <dimension ref="A1:E8"/>
  <sheetViews>
    <sheetView workbookViewId="0">
      <selection activeCell="A2" sqref="A1:E8"/>
    </sheetView>
  </sheetViews>
  <sheetFormatPr baseColWidth="10" defaultRowHeight="14.4" x14ac:dyDescent="0.3"/>
  <cols>
    <col min="1" max="1" width="35.77734375" customWidth="1"/>
  </cols>
  <sheetData>
    <row r="1" spans="1:5" x14ac:dyDescent="0.3">
      <c r="A1" t="s">
        <v>816</v>
      </c>
      <c r="B1" t="s">
        <v>879</v>
      </c>
      <c r="C1" s="1" t="s">
        <v>817</v>
      </c>
      <c r="D1" t="s">
        <v>818</v>
      </c>
      <c r="E1" t="s">
        <v>819</v>
      </c>
    </row>
    <row r="2" spans="1:5" x14ac:dyDescent="0.3">
      <c r="A2" t="s">
        <v>820</v>
      </c>
      <c r="B2" t="s">
        <v>821</v>
      </c>
      <c r="C2" t="s">
        <v>822</v>
      </c>
      <c r="D2" t="s">
        <v>823</v>
      </c>
      <c r="E2" t="s">
        <v>824</v>
      </c>
    </row>
    <row r="3" spans="1:5" x14ac:dyDescent="0.3">
      <c r="A3" t="s">
        <v>825</v>
      </c>
      <c r="B3" t="s">
        <v>819</v>
      </c>
      <c r="C3" t="s">
        <v>818</v>
      </c>
      <c r="D3" t="s">
        <v>879</v>
      </c>
      <c r="E3" s="1" t="s">
        <v>817</v>
      </c>
    </row>
    <row r="4" spans="1:5" x14ac:dyDescent="0.3">
      <c r="A4" t="s">
        <v>827</v>
      </c>
      <c r="B4" t="s">
        <v>880</v>
      </c>
      <c r="C4" t="s">
        <v>881</v>
      </c>
      <c r="D4" t="s">
        <v>882</v>
      </c>
      <c r="E4" t="s">
        <v>883</v>
      </c>
    </row>
    <row r="5" spans="1:5" x14ac:dyDescent="0.3">
      <c r="A5" t="s">
        <v>886</v>
      </c>
      <c r="B5" t="s">
        <v>881</v>
      </c>
      <c r="C5" t="s">
        <v>880</v>
      </c>
      <c r="D5" t="s">
        <v>882</v>
      </c>
      <c r="E5" t="s">
        <v>883</v>
      </c>
    </row>
    <row r="6" spans="1:5" x14ac:dyDescent="0.3">
      <c r="A6" t="s">
        <v>826</v>
      </c>
      <c r="B6" t="s">
        <v>884</v>
      </c>
      <c r="C6" t="s">
        <v>828</v>
      </c>
      <c r="D6" t="s">
        <v>885</v>
      </c>
      <c r="E6" t="s">
        <v>887</v>
      </c>
    </row>
    <row r="7" spans="1:5" x14ac:dyDescent="0.3">
      <c r="A7" t="s">
        <v>829</v>
      </c>
      <c r="B7" t="s">
        <v>830</v>
      </c>
      <c r="C7" t="s">
        <v>817</v>
      </c>
      <c r="D7" t="s">
        <v>776</v>
      </c>
      <c r="E7" t="s">
        <v>831</v>
      </c>
    </row>
    <row r="8" spans="1:5" x14ac:dyDescent="0.3">
      <c r="A8" t="s">
        <v>832</v>
      </c>
      <c r="B8" t="s">
        <v>817</v>
      </c>
      <c r="C8" t="s">
        <v>830</v>
      </c>
      <c r="D8" t="s">
        <v>776</v>
      </c>
      <c r="E8" t="s">
        <v>831</v>
      </c>
    </row>
  </sheetData>
  <hyperlinks>
    <hyperlink ref="C1" r:id="rId1" display="\\frac'\\Delta s}{\\Delta m}" xr:uid="{9EBE9598-93DE-44B1-9E12-35D0695E2A1D}"/>
    <hyperlink ref="E3" r:id="rId2" display="\\frac'\\Delta s}{\\Delta m}" xr:uid="{603A108F-9A9B-4540-BB60-AF31490918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Formule</vt:lpstr>
      <vt:lpstr>Mono</vt:lpstr>
      <vt:lpstr>1</vt:lpstr>
      <vt:lpstr>13</vt:lpstr>
      <vt:lpstr>Continu</vt:lpstr>
      <vt:lpstr>TRI</vt:lpstr>
      <vt:lpstr>Mono H</vt:lpstr>
      <vt:lpstr>T M</vt:lpstr>
      <vt:lpstr>T Tri</vt:lpstr>
      <vt:lpstr>41 T</vt:lpstr>
      <vt:lpstr>41 R</vt:lpstr>
      <vt:lpstr>42</vt:lpstr>
      <vt:lpstr>5</vt:lpstr>
      <vt:lpstr>6</vt:lpstr>
      <vt:lpstr>62</vt:lpstr>
      <vt:lpstr>71</vt:lpstr>
      <vt:lpstr>72</vt:lpstr>
      <vt:lpstr>73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Ehrhardt</dc:creator>
  <cp:lastModifiedBy>Fabien Ehrhardt</cp:lastModifiedBy>
  <dcterms:created xsi:type="dcterms:W3CDTF">2026-03-27T05:46:38Z</dcterms:created>
  <dcterms:modified xsi:type="dcterms:W3CDTF">2026-07-20T07:46:41Z</dcterms:modified>
</cp:coreProperties>
</file>